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eanj\Google Drive\"/>
    </mc:Choice>
  </mc:AlternateContent>
  <xr:revisionPtr revIDLastSave="0" documentId="13_ncr:11_{6D9C4DC0-0857-49D6-B75B-5F879B1C0D0D}" xr6:coauthVersionLast="47" xr6:coauthVersionMax="47" xr10:uidLastSave="{00000000-0000-0000-0000-000000000000}"/>
  <bookViews>
    <workbookView xWindow="-28920" yWindow="-120" windowWidth="29040" windowHeight="15720" activeTab="2" xr2:uid="{AFF2DE5C-D67C-40AC-8FED-F98308FADCA4}"/>
  </bookViews>
  <sheets>
    <sheet name="ShortcutsVimiumC" sheetId="3" r:id="rId1"/>
    <sheet name="ShortcutsGmail" sheetId="4" r:id="rId2"/>
    <sheet name="AnalyzingBothSets" sheetId="5" r:id="rId3"/>
    <sheet name="UrlPatternAnalysis" sheetId="8" r:id="rId4"/>
  </sheets>
  <definedNames>
    <definedName name="_FLAG_IF_IN_LOOKUP_LIST">_xlfn.LAMBDA(_xlpm.lookup_value,_xlpm.lookup_array,_xlop.flag_null_finding_as_blank,_xlfn.LET(_xlpm.LookupValueForLet,_xlpm.lookup_value,_xlpm.LookupArrayForLet,_xlpm.lookup_array,_xlpm.FlagNullFindingAsBlankForLet,IF(OR(_xlfn.ISOMITTED(_xlpm.flag_null_finding_as_blank),_xlpm.flag_null_finding_as_blank=FALSE),TRUE,FALSE),IF(_xlpm.FlagNullFindingAsBlankForLet, IF(_xlpm.lookup_value=_xlfn.XLOOKUP(_xlpm.LookupValueForLet,_xlpm.LookupArrayForLet,_xlpm.LookupArrayForLet,0),1,0), IF(_xlpm.lookup_value=_xlfn.XLOOKUP(_xlpm.LookupValueForLet,_xlpm.LookupArrayForLet,_xlpm.LookupArrayForLet,""),1,""))))</definedName>
    <definedName name="_FREQUENCY_TABLE">_xlfn.LAMBDA(_xlpm.range,_xlop.sort_order_des,_xlop.include_id_col,_xlop.include_simple_stats, _xlfn.LET(_xlpm.sort_order,IF(OR(_xlfn.ISOMITTED(_xlpm.sort_order_des),_xlpm.sort_order_des=-1),-1,1), _xlpm.iic,IF(OR(_xlfn.ISOMITTED(_xlpm.include_id_col),_xlpm.include_id_col=1),1,0), _xlpm.iss,IF(OR(_xlfn.ISOMITTED(_xlpm.include_simple_stats),_xlpm.include_simple_stats=1),1,0), _xlpm.cc,_xlfn.SWITCH(_xlpm.iic,1,4,0,3), _xlpm.t,_xlfn.EXPAND("FREQUENCY TABLE",1,_xlpm.cc,""), _xlpm.to,_xlfn.EXPAND(_xlfn.HSTACK("Total Observations",COUNTA(_xlpm.range)),1,_xlpm.cc,""), _xlpm.dc,_xlfn.EXPAND(_xlfn.HSTACK("Distinct Count",COUNTA(_xlfn.UNIQUE(_xlpm.range))),1,_xlpm.cc,""), _xlpm.fr,_xlfn.EXPAND("",1,_xlpm.cc,""), _xlpm.stats,_xlfn.VSTACK(_xlpm.to,_xlpm.dc,_xlpm.fr), _xlpm.countHeader,_xlfn.SWITCH(_xlpm.sort_order,-1,"Count (Desc)",1,"Count (Asc)"), _xlpm.h,_xlfn.SWITCH(_xlpm.iic,1,_xlfn.HSTACK("ID","Observation",_xlpm.countHeader,"Pct"),0,_xlfn.HSTACK("Observation",_xlpm.countHeader,"Pct")), _xlpm.d, INDEX(_xlpm.range,,1), _xlpm.u, _xlfn.UNIQUE(_xlpm.d), _xlpm.X, N(_xlpm.u = TRANSPOSE(_xlpm.d)), _xlpm.Y, _xlfn.SEQUENCE(ROWS(_xlpm.d), 1, 1, 0), _xlpm.mp, MMULT(_xlpm.X,_xlpm.Y), _xlpm.pct, _xlpm.mp/COUNTA(_xlpm.range), _xlpm.i, _xlfn.SEQUENCE(COUNTA(_xlpm.u),,1,1), _xlpm.c, CHOOSE({1,2,3}, _xlpm.u, _xlpm.mp, _xlpm.pct), _xlpm.wss,_xlfn.SWITCH(_xlpm.iss,1,_xlfn.VSTACK(_xlpm.t,_xlpm.stats,_xlpm.h),0,_xlfn.VSTACK(_xlpm.t,_xlpm.h)), _xlpm.da,_xlfn.SWITCH(_xlpm.iic,1,_xlfn.HSTACK(_xlpm.i, _xlfn._xlws.SORT(_xlpm.c, 2, _xlpm.sort_order)),0,_xlfn._xlws.SORT(_xlpm.c, 2, _xlpm.sort_order)), _xlfn.VSTACK(_xlpm.wss,_xlpm.da) ))</definedName>
    <definedName name="_RANDOM_SAMPLE_OF_SIZE_N">_xlfn.LAMBDA(_xlpm.range_to_sample,_xlpm.sample_size,_xlfn.LET(_xlpm.RangeToSample, _xlpm.range_to_sample, _xlpm.ObservationsInRangeToSample,COUNTA(_xlpm.RangeToSample), _xlpm.SampleSize,_xlpm.sample_size, _xlfn.TAKE(_xlfn._xlws.SORT(_xlfn.HSTACK(_xlpm.RangeToSample, _xlfn.RANDARRAY(_xlpm.ObservationsInRangeToSample)), 2,1), _xlpm.SampleSize,1)))</definedName>
    <definedName name="_RECONCILIATION">_xlfn.LAMBDA(_xlpm.list_1_range,_xlpm.list_2_range,_xlop.list_1_alias,_xlop.list_2_alias,_xlfn.LET(_xlpm.list1Title,IF(_xlfn.ISOMITTED(_xlpm.list_1_alias),"List 1",_xlpm.list_1_alias), _xlpm.list2Title,IF(_xlfn.ISOMITTED(_xlpm.list_2_alias),"List 2",_xlpm.list_2_alias), _xlpm.list1Distinct, _xlfn.UNIQUE(_xlpm.list_1_range), _xlpm.list2Distinct, _xlfn.UNIQUE(_xlpm.list_2_range), _xlpm.headers,_xlfn.HSTACK("Distinct Observation","In " &amp; _xlpm.list1Title, "In " &amp; _xlpm.list2Title,"Category"), _xlpm.distinctObservations, _xlfn.UNIQUE(_xlfn.VSTACK(_xlpm.list_1_range,_xlpm.list_2_range)), _xlpm.list1LogicalMatrix, N(_xlpm.distinctObservations = TRANSPOSE(_xlpm.list1Distinct)), _xlpm.list2LogicalMatrix, N(_xlpm.distinctObservations = TRANSPOSE(_xlpm.list2Distinct)), _xlpm.list1ColumnVector, _xlfn.SEQUENCE(ROWS(_xlpm.list1Distinct), 1, 1, 0), _xlpm.list2ColumnVector, _xlfn.SEQUENCE(ROWS(_xlpm.list2Distinct), 1, 1, 0), _xlpm.list1MatrixProduct, MMULT(_xlpm.list1LogicalMatrix, _xlpm.list1ColumnVector), _xlpm.list2MatrixProduct, MMULT(_xlpm.list2LogicalMatrix, _xlpm.list2ColumnVector), _xlpm.reconciliationCategory, _xlfn.MAP(_xlpm.list1MatrixProduct, _xlpm.list2MatrixProduct, _xlfn.LAMBDA(_xlpm.List1,_xlpm.List2, _xlfn.SWITCH(_xlpm.List1 &amp; _xlpm.List2, "10", "1. "&amp; _xlpm.list1Title &amp;" only", "01", "2. "&amp; _xlpm.list2Title &amp;" only", "11", "3. Both", "4. Other"))), _xlpm.result,_xlfn._xlws.SORT(CHOOSE({1,2,3,4}, _xlpm.distinctObservations, _xlpm.list1MatrixProduct, _xlpm.list2MatrixProduct, _xlpm.reconciliationCategory), 4,1), _xlfn.VSTACK(_xlpm.headers,_xlpm.result)))</definedName>
    <definedName name="_SUMMARY_STATISTICS">_xlfn.LAMBDA(_xlpm.Range, _xlfn.LET(_xlpm.Stats_TableTitle,_xlfn.HSTACK("SUMMARY STATISTICS",""),         _xlpm.Stats_TotalObservations,_xlfn.HSTACK("Total Observations",COUNTA(_xlpm.Range)),         _xlpm.Stats_UniqueCount,_xlfn.HSTACK("Unique Count",COUNTA(_xlfn.UNIQUE(_xlpm.Range))),         _xlpm.Stats_Average,_xlfn.HSTACK("Average",AVERAGE(_xlpm.Range)),         _xlpm.Stats_Range,_xlfn.HSTACK("Range",MAX(_xlpm.Range)-MIN(_xlpm.Range)),         _xlpm.Stats_StDev,_xlfn.HSTACK("Std Dev.", _xlfn.STDEV.P(_xlpm.Range)),         _xlpm.Stats_Max,_xlfn.HSTACK("    Max",MAX(_xlpm.Range)),         _xlpm.Stats_3rdQuartile75Pct,_xlfn.HSTACK("    3rd Quartile (75th %ile)",_xlfn.QUARTILE.INC(_xlpm.Range,3)),         _xlpm.Stats_Median,_xlfn.HSTACK("    Median",_xlfn.QUARTILE.INC(_xlpm.Range,2)),         _xlpm.Stats_1stQuartile25Pct,_xlfn.HSTACK("    1st Quartile (25th %ile)",_xlfn.QUARTILE.INC(_xlpm.Range,1)),         _xlpm.Stats_Min,_xlfn.HSTACK("    Min",MIN(_xlpm.Range)),         _xlpm.Stats,_xlfn.VSTACK(_xlpm.Stats_TableTitle,                                      _xlpm.Stats_TotalObservations,                                      _xlpm.Stats_UniqueCount,                                      _xlpm.Stats_Average,                                      _xlpm.Stats_Range,                                      _xlpm.Stats_StDev,                                      _xlpm.Stats_Max,                                      _xlpm.Stats_3rdQuartile75Pct,                                      _xlpm.Stats_Median,                                      _xlpm.Stats_1stQuartile25Pct,                                      _xlpm.Stats_Min),_xlpm.Stats))</definedName>
    <definedName name="_TEXTBETWEEN">_xlfn.LAMBDA(_xlpm.text,_xlpm.text_after_delimiter,_xlpm.text_before_delimiter,_xlfn.TEXTBEFORE(_xlfn.TEXTAFTER(_xlpm.text,_xlpm.text_after_delimiter),_xlpm.text_before_delimiter))</definedName>
    <definedName name="_UNIQUE_FILTER_OUT_ZERO_AND_BLANK">_xlfn.LAMBDA(_xlpm.range,_xlfn._xlws.FILTER(_xlfn.UNIQUE(_xlpm.range),_xlfn.UNIQUE(_xlpm.range)&lt;&gt;0))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5" l="1" a="1"/>
  <c r="H26" i="5" s="1"/>
  <c r="E26" i="5" a="1"/>
  <c r="E26" i="5" s="1"/>
  <c r="H23" i="5" l="1"/>
  <c r="E23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<sst xmlns="http://schemas.openxmlformats.org/spreadsheetml/2006/main" count="578" uniqueCount="326">
  <si>
    <t>Navigating the page</t>
  </si>
  <si>
    <t>f</t>
  </si>
  <si>
    <t>Open a link in the current tab</t>
  </si>
  <si>
    <t>F</t>
  </si>
  <si>
    <t>Open a link in a new tab</t>
  </si>
  <si>
    <t>&lt;a-f&gt;</t>
  </si>
  <si>
    <t>Open multiple links in a new tab</t>
  </si>
  <si>
    <t>&lt;c-e&gt; j</t>
  </si>
  <si>
    <t>Scroll down</t>
  </si>
  <si>
    <t>k &lt;c-y&gt;</t>
  </si>
  <si>
    <t>Scroll up</t>
  </si>
  <si>
    <t>h</t>
  </si>
  <si>
    <t>Scroll left</t>
  </si>
  <si>
    <t>l</t>
  </si>
  <si>
    <t>Scroll right</t>
  </si>
  <si>
    <t>gg</t>
  </si>
  <si>
    <t>Scroll to the top of the page</t>
  </si>
  <si>
    <t>G</t>
  </si>
  <si>
    <t>Scroll to the bottom of the page</t>
  </si>
  <si>
    <t>zH</t>
  </si>
  <si>
    <t>Scroll all the way to the left</t>
  </si>
  <si>
    <t>zL</t>
  </si>
  <si>
    <t>Scroll all the way to the right</t>
  </si>
  <si>
    <t>d</t>
  </si>
  <si>
    <t>Scroll a page down</t>
  </si>
  <si>
    <t>u</t>
  </si>
  <si>
    <t>Scroll a page up</t>
  </si>
  <si>
    <t>r</t>
  </si>
  <si>
    <t>Reload current frame</t>
  </si>
  <si>
    <t>&lt;a-r&gt;</t>
  </si>
  <si>
    <t>Reload N tabs</t>
  </si>
  <si>
    <t>R</t>
  </si>
  <si>
    <t>Reload N-th tab</t>
  </si>
  <si>
    <t>gs</t>
  </si>
  <si>
    <t>View page source</t>
  </si>
  <si>
    <t>yy</t>
  </si>
  <si>
    <t>Copy page's info</t>
  </si>
  <si>
    <t>&lt;s-f1&gt; &lt;f2&gt;</t>
  </si>
  <si>
    <t>Blur activeElement or refocus it</t>
  </si>
  <si>
    <t>gi</t>
  </si>
  <si>
    <t>Focus the N-th visible text box on the page and cycle using tab</t>
  </si>
  <si>
    <t>yf</t>
  </si>
  <si>
    <t>Copy a link URL to the clipboard</t>
  </si>
  <si>
    <t>P</t>
  </si>
  <si>
    <t>Open the clipboard's URL in N new tabs</t>
  </si>
  <si>
    <t>gu</t>
  </si>
  <si>
    <t>Go up the URL hierarchy</t>
  </si>
  <si>
    <t>gU</t>
  </si>
  <si>
    <t>Go to root of current URL hierarchy</t>
  </si>
  <si>
    <t>yi</t>
  </si>
  <si>
    <t>Copy image to the clipboard</t>
  </si>
  <si>
    <t>yv</t>
  </si>
  <si>
    <t>Select text and enter visual mode</t>
  </si>
  <si>
    <t>&lt;f1&gt;</t>
  </si>
  <si>
    <t>Simulate backspace once if focused</t>
  </si>
  <si>
    <t>]]</t>
  </si>
  <si>
    <t>Follow the link labeled next or "&gt;"</t>
  </si>
  <si>
    <t>[[</t>
  </si>
  <si>
    <t>Follow the link labeled previous or "&lt;"</t>
  </si>
  <si>
    <t>gf</t>
  </si>
  <si>
    <t>Cycle forward to the next frame on the page</t>
  </si>
  <si>
    <t>gF</t>
  </si>
  <si>
    <t>Select the tab's main/top frame</t>
  </si>
  <si>
    <t>&lt;f8&gt; v</t>
  </si>
  <si>
    <t>Enter visual mode</t>
  </si>
  <si>
    <t>V</t>
  </si>
  <si>
    <t>Enter visual line mode</t>
  </si>
  <si>
    <t>m</t>
  </si>
  <si>
    <t>Create a new mark</t>
  </si>
  <si>
    <t>`</t>
  </si>
  <si>
    <t>Go to a mark</t>
  </si>
  <si>
    <t>o</t>
  </si>
  <si>
    <t>Open URL, bookmark, or history entry</t>
  </si>
  <si>
    <t>O</t>
  </si>
  <si>
    <t>Open URL, history, … in a new tab</t>
  </si>
  <si>
    <t>b</t>
  </si>
  <si>
    <t>Open a bookmark</t>
  </si>
  <si>
    <t>B</t>
  </si>
  <si>
    <t>Open a bookmark in a new tab</t>
  </si>
  <si>
    <t>T</t>
  </si>
  <si>
    <t>Search through your open tabs</t>
  </si>
  <si>
    <t>ge</t>
  </si>
  <si>
    <t>Edit the current URL</t>
  </si>
  <si>
    <t>gE</t>
  </si>
  <si>
    <t>Edit the current URL and open in a new tab</t>
  </si>
  <si>
    <t>gn</t>
  </si>
  <si>
    <t>Toggle styles of vomnibar page</t>
  </si>
  <si>
    <t>Using find</t>
  </si>
  <si>
    <t>/</t>
  </si>
  <si>
    <t>Enter find mode</t>
  </si>
  <si>
    <t>n</t>
  </si>
  <si>
    <t>Cycle forward to the next find match</t>
  </si>
  <si>
    <t>N</t>
  </si>
  <si>
    <t>Cycle backward to the previous find match</t>
  </si>
  <si>
    <t>&lt;a-n&gt;</t>
  </si>
  <si>
    <t>Find the second or even earlier query words</t>
  </si>
  <si>
    <t>Navigating history</t>
  </si>
  <si>
    <t>H</t>
  </si>
  <si>
    <t>Go back in history</t>
  </si>
  <si>
    <t>L</t>
  </si>
  <si>
    <t>Go forward in history</t>
  </si>
  <si>
    <t>&lt;a-s-r&gt;</t>
  </si>
  <si>
    <t>Reopen current page</t>
  </si>
  <si>
    <t>&lt;a-s-c&gt; gt K &lt;a-v&gt;</t>
  </si>
  <si>
    <t>Go one tab right</t>
  </si>
  <si>
    <t>&lt;a-c&gt; gT J</t>
  </si>
  <si>
    <t>Go one tab left</t>
  </si>
  <si>
    <t>g0</t>
  </si>
  <si>
    <t>Go to the first N-th tab</t>
  </si>
  <si>
    <t>g$</t>
  </si>
  <si>
    <t>Go to the last N-th tab</t>
  </si>
  <si>
    <t>t &lt;a-t&gt;</t>
  </si>
  <si>
    <t>Create new tabs</t>
  </si>
  <si>
    <t>yt</t>
  </si>
  <si>
    <t>Duplicate current tab for N times</t>
  </si>
  <si>
    <t>x</t>
  </si>
  <si>
    <t>Close N tabs</t>
  </si>
  <si>
    <t>X</t>
  </si>
  <si>
    <t>Restore closed tabs</t>
  </si>
  <si>
    <t>W</t>
  </si>
  <si>
    <t>Move N tabs to new window</t>
  </si>
  <si>
    <t>&lt;a-p&gt;</t>
  </si>
  <si>
    <t>Pin or unpin N tabs</t>
  </si>
  <si>
    <t>&lt;a-m&gt;</t>
  </si>
  <si>
    <t>Mute or unmute current tab</t>
  </si>
  <si>
    <t>^</t>
  </si>
  <si>
    <t>Go to previously-visited tab on current window</t>
  </si>
  <si>
    <t>&lt;&lt;</t>
  </si>
  <si>
    <t>Move tab to the left</t>
  </si>
  <si>
    <t>&gt;&gt;</t>
  </si>
  <si>
    <t>Move tab to the right</t>
  </si>
  <si>
    <t>Miscellaneous</t>
  </si>
  <si>
    <t>?</t>
  </si>
  <si>
    <t>Show help</t>
  </si>
  <si>
    <t>Using Vomnibar</t>
  </si>
  <si>
    <t>Manipulating Tabs</t>
  </si>
  <si>
    <t>Action</t>
  </si>
  <si>
    <t>Shortcut</t>
  </si>
  <si>
    <t>Previous message in an open conversation</t>
  </si>
  <si>
    <t>p</t>
  </si>
  <si>
    <t>Next message in an open conversation</t>
  </si>
  <si>
    <t>Focus main window</t>
  </si>
  <si>
    <t>Focus latest chat or compose</t>
  </si>
  <si>
    <t>Esc</t>
  </si>
  <si>
    <t>Advance to the next chat or compose</t>
  </si>
  <si>
    <t>Advance to previous chat or compose</t>
  </si>
  <si>
    <t>Send</t>
  </si>
  <si>
    <t>Add cc recipients</t>
  </si>
  <si>
    <t>Add bcc recipients</t>
  </si>
  <si>
    <t>Access custom from</t>
  </si>
  <si>
    <t>Insert a link</t>
  </si>
  <si>
    <t>Go to next misspelled word (Mac only)</t>
  </si>
  <si>
    <t>Open spelling suggestions</t>
  </si>
  <si>
    <t>Compose &amp; Chat</t>
  </si>
  <si>
    <t>Previous font</t>
  </si>
  <si>
    <t>Next font</t>
  </si>
  <si>
    <t>Decrease text size</t>
  </si>
  <si>
    <t>Increase text size</t>
  </si>
  <si>
    <t>Bold</t>
  </si>
  <si>
    <t>Italics</t>
  </si>
  <si>
    <t>Underline</t>
  </si>
  <si>
    <t>Numbered list</t>
  </si>
  <si>
    <t>Bulleted list</t>
  </si>
  <si>
    <t>Quote</t>
  </si>
  <si>
    <t>Indent less</t>
  </si>
  <si>
    <t>Indent more</t>
  </si>
  <si>
    <t>Align left</t>
  </si>
  <si>
    <t>Align center</t>
  </si>
  <si>
    <t>Align right</t>
  </si>
  <si>
    <t>Remove formatting</t>
  </si>
  <si>
    <t>Formatting Text</t>
  </si>
  <si>
    <t>Move focus to toolbar</t>
  </si>
  <si>
    <t>,</t>
  </si>
  <si>
    <t>Select conversation</t>
  </si>
  <si>
    <t>Toggle star/rotate among superstars</t>
  </si>
  <si>
    <t>s</t>
  </si>
  <si>
    <t>Archive</t>
  </si>
  <si>
    <t>e</t>
  </si>
  <si>
    <t>Mute conversation</t>
  </si>
  <si>
    <t>Report as spam</t>
  </si>
  <si>
    <t>!</t>
  </si>
  <si>
    <t>Delete</t>
  </si>
  <si>
    <t>#</t>
  </si>
  <si>
    <t>Reply</t>
  </si>
  <si>
    <t>Reply in a new window</t>
  </si>
  <si>
    <t>Reply all</t>
  </si>
  <si>
    <t>a</t>
  </si>
  <si>
    <t>Reply all in a new window</t>
  </si>
  <si>
    <t>Forward</t>
  </si>
  <si>
    <t>Forward in a new window</t>
  </si>
  <si>
    <t>Update conversation</t>
  </si>
  <si>
    <t>Archive conversation and go previous/next</t>
  </si>
  <si>
    <t>] or [</t>
  </si>
  <si>
    <t>Undo last action</t>
  </si>
  <si>
    <t>z</t>
  </si>
  <si>
    <t>Mark as read</t>
  </si>
  <si>
    <t>Mark as unread</t>
  </si>
  <si>
    <t>Mark unread from the selected message</t>
  </si>
  <si>
    <t>_</t>
  </si>
  <si>
    <t>Mark as important</t>
  </si>
  <si>
    <t>Mark as not important</t>
  </si>
  <si>
    <t>-</t>
  </si>
  <si>
    <t>Snooze</t>
  </si>
  <si>
    <t>Expand entire conversation</t>
  </si>
  <si>
    <t>;</t>
  </si>
  <si>
    <t>Collapse entire conversation</t>
  </si>
  <si>
    <t>:</t>
  </si>
  <si>
    <t>Add conversation to Tasks</t>
  </si>
  <si>
    <t>Actions</t>
  </si>
  <si>
    <t>Threadlist Selection</t>
  </si>
  <si>
    <t>Select all conversations</t>
  </si>
  <si>
    <t>Deselect all conversations</t>
  </si>
  <si>
    <t>Select read conversations</t>
  </si>
  <si>
    <t>Select unread conversations</t>
  </si>
  <si>
    <t>Select starred conversations</t>
  </si>
  <si>
    <t>Select unstarred conversations</t>
  </si>
  <si>
    <t>Go to next page</t>
  </si>
  <si>
    <t>g + n</t>
  </si>
  <si>
    <t>Go to previous page</t>
  </si>
  <si>
    <t>g + p</t>
  </si>
  <si>
    <t>Back to threadlist</t>
  </si>
  <si>
    <t>Newer conversation</t>
  </si>
  <si>
    <t>k</t>
  </si>
  <si>
    <t>Older conversation</t>
  </si>
  <si>
    <t>j</t>
  </si>
  <si>
    <t>Open conversation</t>
  </si>
  <si>
    <t>Go to next Inbox section</t>
  </si>
  <si>
    <t>Go to previous Inbox section</t>
  </si>
  <si>
    <t>~</t>
  </si>
  <si>
    <t>Navigation</t>
  </si>
  <si>
    <t>Compose</t>
  </si>
  <si>
    <t>c</t>
  </si>
  <si>
    <t>Compose in a new tab</t>
  </si>
  <si>
    <t>Search mail</t>
  </si>
  <si>
    <t>Search chat contacts</t>
  </si>
  <si>
    <t>q</t>
  </si>
  <si>
    <t>Open "more actions" menu</t>
  </si>
  <si>
    <t>.</t>
  </si>
  <si>
    <t>Open "move to" menu</t>
  </si>
  <si>
    <t>v</t>
  </si>
  <si>
    <t>Open "label as" menu</t>
  </si>
  <si>
    <t>Open keyboard shortcut help</t>
  </si>
  <si>
    <t>Application</t>
  </si>
  <si>
    <t>Area</t>
  </si>
  <si>
    <r>
      <t xml:space="preserve">Shift </t>
    </r>
    <r>
      <rPr>
        <sz val="11"/>
        <color theme="1"/>
        <rFont val="Aptos"/>
        <family val="2"/>
      </rPr>
      <t>+ Esc</t>
    </r>
  </si>
  <si>
    <r>
      <t xml:space="preserve">Ctrl </t>
    </r>
    <r>
      <rPr>
        <sz val="11"/>
        <color theme="1"/>
        <rFont val="Aptos"/>
        <family val="2"/>
      </rPr>
      <t>+ .</t>
    </r>
  </si>
  <si>
    <r>
      <t xml:space="preserve">Ctrl </t>
    </r>
    <r>
      <rPr>
        <sz val="11"/>
        <color theme="1"/>
        <rFont val="Aptos"/>
        <family val="2"/>
      </rPr>
      <t>+ ,</t>
    </r>
  </si>
  <si>
    <r>
      <t>⌘</t>
    </r>
    <r>
      <rPr>
        <sz val="11"/>
        <color theme="1"/>
        <rFont val="Aptos"/>
        <family val="2"/>
      </rPr>
      <t>/Ctrl + Enter</t>
    </r>
  </si>
  <si>
    <r>
      <t>⌘</t>
    </r>
    <r>
      <rPr>
        <sz val="11"/>
        <color theme="1"/>
        <rFont val="Aptos"/>
        <family val="2"/>
      </rPr>
      <t>/Ctrl + Shift + c</t>
    </r>
  </si>
  <si>
    <r>
      <t>⌘</t>
    </r>
    <r>
      <rPr>
        <sz val="11"/>
        <color theme="1"/>
        <rFont val="Aptos"/>
        <family val="2"/>
      </rPr>
      <t>/Ctrl + Shift + b</t>
    </r>
  </si>
  <si>
    <r>
      <t>⌘</t>
    </r>
    <r>
      <rPr>
        <sz val="11"/>
        <color theme="1"/>
        <rFont val="Aptos"/>
        <family val="2"/>
      </rPr>
      <t>/Ctrl + Shift + f</t>
    </r>
  </si>
  <si>
    <r>
      <t>⌘</t>
    </r>
    <r>
      <rPr>
        <sz val="11"/>
        <color theme="1"/>
        <rFont val="Aptos"/>
        <family val="2"/>
      </rPr>
      <t>/Ctrl + k</t>
    </r>
  </si>
  <si>
    <r>
      <t>⌘</t>
    </r>
    <r>
      <rPr>
        <sz val="11"/>
        <color theme="1"/>
        <rFont val="Aptos"/>
        <family val="2"/>
      </rPr>
      <t xml:space="preserve"> + ;</t>
    </r>
  </si>
  <si>
    <r>
      <t>⌘</t>
    </r>
    <r>
      <rPr>
        <sz val="11"/>
        <color theme="1"/>
        <rFont val="Aptos"/>
        <family val="2"/>
      </rPr>
      <t>/Ctrl + m</t>
    </r>
  </si>
  <si>
    <r>
      <t>⌘</t>
    </r>
    <r>
      <rPr>
        <sz val="11"/>
        <color theme="1"/>
        <rFont val="Aptos"/>
        <family val="2"/>
      </rPr>
      <t>/Ctrl + Shift + 5</t>
    </r>
  </si>
  <si>
    <r>
      <t>⌘</t>
    </r>
    <r>
      <rPr>
        <sz val="11"/>
        <color theme="1"/>
        <rFont val="Aptos"/>
        <family val="2"/>
      </rPr>
      <t>/Ctrl + Shift + 6</t>
    </r>
  </si>
  <si>
    <r>
      <t>⌘</t>
    </r>
    <r>
      <rPr>
        <sz val="11"/>
        <color theme="1"/>
        <rFont val="Aptos"/>
        <family val="2"/>
      </rPr>
      <t>/Ctrl + Shift + -</t>
    </r>
  </si>
  <si>
    <r>
      <t>⌘</t>
    </r>
    <r>
      <rPr>
        <sz val="11"/>
        <color theme="1"/>
        <rFont val="Aptos"/>
        <family val="2"/>
      </rPr>
      <t>/Ctrl + Shift and +</t>
    </r>
  </si>
  <si>
    <r>
      <t>⌘</t>
    </r>
    <r>
      <rPr>
        <sz val="11"/>
        <color theme="1"/>
        <rFont val="Aptos"/>
        <family val="2"/>
      </rPr>
      <t>/Ctrl + b</t>
    </r>
  </si>
  <si>
    <r>
      <t>⌘</t>
    </r>
    <r>
      <rPr>
        <sz val="11"/>
        <color theme="1"/>
        <rFont val="Aptos"/>
        <family val="2"/>
      </rPr>
      <t>/Ctrl + i</t>
    </r>
  </si>
  <si>
    <r>
      <t>⌘</t>
    </r>
    <r>
      <rPr>
        <sz val="11"/>
        <color theme="1"/>
        <rFont val="Aptos"/>
        <family val="2"/>
      </rPr>
      <t>/Ctrl + u</t>
    </r>
  </si>
  <si>
    <r>
      <t>⌘</t>
    </r>
    <r>
      <rPr>
        <sz val="11"/>
        <color theme="1"/>
        <rFont val="Aptos"/>
        <family val="2"/>
      </rPr>
      <t>/Ctrl + Shift + 7</t>
    </r>
  </si>
  <si>
    <r>
      <t>⌘</t>
    </r>
    <r>
      <rPr>
        <sz val="11"/>
        <color theme="1"/>
        <rFont val="Aptos"/>
        <family val="2"/>
      </rPr>
      <t>/Ctrl + Shift + 8</t>
    </r>
  </si>
  <si>
    <r>
      <t>⌘</t>
    </r>
    <r>
      <rPr>
        <sz val="11"/>
        <color theme="1"/>
        <rFont val="Aptos"/>
        <family val="2"/>
      </rPr>
      <t>/Ctrl + Shift + 9</t>
    </r>
  </si>
  <si>
    <r>
      <t>⌘</t>
    </r>
    <r>
      <rPr>
        <sz val="11"/>
        <color theme="1"/>
        <rFont val="Aptos"/>
        <family val="2"/>
      </rPr>
      <t>/Ctrl + [</t>
    </r>
  </si>
  <si>
    <r>
      <t>⌘</t>
    </r>
    <r>
      <rPr>
        <sz val="11"/>
        <color theme="1"/>
        <rFont val="Aptos"/>
        <family val="2"/>
      </rPr>
      <t>/Ctrl + ]</t>
    </r>
  </si>
  <si>
    <r>
      <t>⌘</t>
    </r>
    <r>
      <rPr>
        <sz val="11"/>
        <color theme="1"/>
        <rFont val="Aptos"/>
        <family val="2"/>
      </rPr>
      <t>/Ctrl + Shift + l</t>
    </r>
  </si>
  <si>
    <r>
      <t>⌘</t>
    </r>
    <r>
      <rPr>
        <sz val="11"/>
        <color theme="1"/>
        <rFont val="Aptos"/>
        <family val="2"/>
      </rPr>
      <t>/Ctrl + Shift + e</t>
    </r>
  </si>
  <si>
    <r>
      <t>⌘</t>
    </r>
    <r>
      <rPr>
        <sz val="11"/>
        <color theme="1"/>
        <rFont val="Aptos"/>
        <family val="2"/>
      </rPr>
      <t>/Ctrl + Shift + r</t>
    </r>
  </si>
  <si>
    <r>
      <t>⌘</t>
    </r>
    <r>
      <rPr>
        <sz val="11"/>
        <color theme="1"/>
        <rFont val="Aptos"/>
        <family val="2"/>
      </rPr>
      <t>/Ctrl + \</t>
    </r>
  </si>
  <si>
    <r>
      <t xml:space="preserve">Shift </t>
    </r>
    <r>
      <rPr>
        <sz val="11"/>
        <color theme="1"/>
        <rFont val="Aptos"/>
        <family val="2"/>
      </rPr>
      <t>+ r</t>
    </r>
  </si>
  <si>
    <r>
      <t xml:space="preserve">Shift </t>
    </r>
    <r>
      <rPr>
        <sz val="11"/>
        <color theme="1"/>
        <rFont val="Aptos"/>
        <family val="2"/>
      </rPr>
      <t>+ a</t>
    </r>
  </si>
  <si>
    <r>
      <t xml:space="preserve">Shift </t>
    </r>
    <r>
      <rPr>
        <sz val="11"/>
        <color theme="1"/>
        <rFont val="Aptos"/>
        <family val="2"/>
      </rPr>
      <t>+ f</t>
    </r>
  </si>
  <si>
    <r>
      <t xml:space="preserve">Shift </t>
    </r>
    <r>
      <rPr>
        <sz val="11"/>
        <color theme="1"/>
        <rFont val="Aptos"/>
        <family val="2"/>
      </rPr>
      <t>+ n</t>
    </r>
  </si>
  <si>
    <r>
      <t xml:space="preserve">Shift </t>
    </r>
    <r>
      <rPr>
        <sz val="11"/>
        <color theme="1"/>
        <rFont val="Aptos"/>
        <family val="2"/>
      </rPr>
      <t>+ i</t>
    </r>
  </si>
  <si>
    <r>
      <t xml:space="preserve">Shift </t>
    </r>
    <r>
      <rPr>
        <sz val="11"/>
        <color theme="1"/>
        <rFont val="Aptos"/>
        <family val="2"/>
      </rPr>
      <t>+ u</t>
    </r>
  </si>
  <si>
    <r>
      <t xml:space="preserve">+ </t>
    </r>
    <r>
      <rPr>
        <sz val="11"/>
        <color theme="1"/>
        <rFont val="Aptos"/>
        <family val="2"/>
      </rPr>
      <t>or =</t>
    </r>
  </si>
  <si>
    <r>
      <t xml:space="preserve">Shift </t>
    </r>
    <r>
      <rPr>
        <sz val="11"/>
        <color theme="1"/>
        <rFont val="Aptos"/>
        <family val="2"/>
      </rPr>
      <t>+ t</t>
    </r>
  </si>
  <si>
    <r>
      <t xml:space="preserve">* </t>
    </r>
    <r>
      <rPr>
        <sz val="11"/>
        <color theme="1"/>
        <rFont val="Aptos"/>
        <family val="2"/>
      </rPr>
      <t>+ a</t>
    </r>
  </si>
  <si>
    <r>
      <t xml:space="preserve">* </t>
    </r>
    <r>
      <rPr>
        <sz val="11"/>
        <color theme="1"/>
        <rFont val="Aptos"/>
        <family val="2"/>
      </rPr>
      <t>+ n</t>
    </r>
  </si>
  <si>
    <r>
      <t xml:space="preserve">* </t>
    </r>
    <r>
      <rPr>
        <sz val="11"/>
        <color theme="1"/>
        <rFont val="Aptos"/>
        <family val="2"/>
      </rPr>
      <t>+ r</t>
    </r>
  </si>
  <si>
    <r>
      <t xml:space="preserve">* </t>
    </r>
    <r>
      <rPr>
        <sz val="11"/>
        <color theme="1"/>
        <rFont val="Aptos"/>
        <family val="2"/>
      </rPr>
      <t>+ u</t>
    </r>
  </si>
  <si>
    <r>
      <t xml:space="preserve">* </t>
    </r>
    <r>
      <rPr>
        <sz val="11"/>
        <color theme="1"/>
        <rFont val="Aptos"/>
        <family val="2"/>
      </rPr>
      <t>+ s</t>
    </r>
  </si>
  <si>
    <r>
      <t xml:space="preserve">* </t>
    </r>
    <r>
      <rPr>
        <sz val="11"/>
        <color theme="1"/>
        <rFont val="Aptos"/>
        <family val="2"/>
      </rPr>
      <t>+ t</t>
    </r>
  </si>
  <si>
    <r>
      <t>o</t>
    </r>
    <r>
      <rPr>
        <sz val="11"/>
        <color theme="1"/>
        <rFont val="Aptos"/>
        <family val="2"/>
      </rPr>
      <t xml:space="preserve"> or Enter</t>
    </r>
  </si>
  <si>
    <t>Inbox</t>
  </si>
  <si>
    <t>https://mail.google.com/mail/u/0/#inbox</t>
  </si>
  <si>
    <t>https://mail.google.com/mail/u/0/#drafts</t>
  </si>
  <si>
    <t>https://mail.google.com/mail/u/0/#category/purchases</t>
  </si>
  <si>
    <t>https://mail.google.com/mail/u/0/#search/elise</t>
  </si>
  <si>
    <t>Yes</t>
  </si>
  <si>
    <t>https://mail.google.com/mail/u/0/#search/category%3Apurchases+cheetah+house</t>
  </si>
  <si>
    <t>Change for Sean</t>
  </si>
  <si>
    <t>i</t>
  </si>
  <si>
    <t>NOTHING</t>
  </si>
  <si>
    <t>Forward in history</t>
  </si>
  <si>
    <t>Reopen previous closed tab</t>
  </si>
  <si>
    <t>Go with Vimium</t>
  </si>
  <si>
    <t>Go with Gmail</t>
  </si>
  <si>
    <t>Open message</t>
  </si>
  <si>
    <t>In Inbox of Any Kind</t>
  </si>
  <si>
    <t>In Message</t>
  </si>
  <si>
    <t>https://mail.google.com/mail/u/0/#inbox/FMfcgzQfBstJWbnVsqMLxcBZpqLFRRxF</t>
  </si>
  <si>
    <t>In Inbox</t>
  </si>
  <si>
    <t>No</t>
  </si>
  <si>
    <t>https://mail.google.com/mail/u/0/#inbox/FMfcgzQfBQJFZHFPDrVvBvdSfqfqRBCQ</t>
  </si>
  <si>
    <t>https://mail.google.com/mail/u/0/#search/elise/FMfcgzQfBZgpgnDGdNwqndSDxkWhbgrR</t>
  </si>
  <si>
    <t>https://mail.google.com/mail/u/0/#search/jess+started+a+substack/FMfcgzQfBZgpgnDGdNwqndSDxkWhbgrR</t>
  </si>
  <si>
    <t>https://mail.google.com/mail/u/0/#search/category%3Apurchases+cheetah+house/FMfcgzQfBshlXdlXxpSdDVTGMKTBJsvW</t>
  </si>
  <si>
    <t>Message</t>
  </si>
  <si>
    <t>URL</t>
  </si>
  <si>
    <t>https://mail.google.com/mail/u/0/#search/received+2022/FMfcgzGpGdmnvsBNMBGnwCkTrbjrQXGZ</t>
  </si>
  <si>
    <t>Distinct Observation</t>
  </si>
  <si>
    <t>J</t>
  </si>
  <si>
    <t>K</t>
  </si>
  <si>
    <t>g</t>
  </si>
  <si>
    <t>VimiumC Description</t>
  </si>
  <si>
    <t>Gmail Default Description</t>
  </si>
  <si>
    <t>Notes</t>
  </si>
  <si>
    <t>This is a specific message, maybe after searching</t>
  </si>
  <si>
    <t>This is an inbox</t>
  </si>
  <si>
    <t>Note: In google shortcuts, remap u (for return to inbox) to i (which is unassigned to gmail or vimium c)</t>
  </si>
  <si>
    <t>/ ` j k g o r x</t>
  </si>
  <si>
    <t>/ J K g r x p n</t>
  </si>
  <si>
    <t>"G Mode"</t>
  </si>
  <si>
    <t>NA (Go with Vimium)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</si>
</sst>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"/>
      <family val="2"/>
    </font>
    <font>
      <sz val="11"/>
      <color theme="1"/>
      <name val="Aptos"/>
      <family val="2"/>
    </font>
    <font>
      <u/>
      <sz val="11"/>
      <color theme="10"/>
      <name val="Aptos"/>
      <family val="2"/>
    </font>
    <font>
      <b/>
      <sz val="11"/>
      <color theme="1"/>
      <name val="Aptos"/>
      <family val="2"/>
    </font>
    <font>
      <sz val="11"/>
      <color rgb="FF000000"/>
      <name val="Aptos"/>
      <family val="2"/>
    </font>
    <font>
      <sz val="11"/>
      <color rgb="FFFFFFFF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rgb="FF4CD964"/>
        <bgColor indexed="64"/>
      </patternFill>
    </fill>
    <fill>
      <patternFill patternType="solid">
        <fgColor rgb="FF5AC8FA"/>
        <bgColor indexed="64"/>
      </patternFill>
    </fill>
    <fill>
      <patternFill patternType="solid">
        <fgColor rgb="FFFF95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AB88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0" fillId="2" borderId="0" xfId="0" applyFont="1" applyFill="1" applyAlignment="1">
      <alignment vertical="center"/>
    </xf>
    <xf numFmtId="0" fontId="2" fillId="0" borderId="0" xfId="1"/>
    <xf numFmtId="0" fontId="0" fillId="0" borderId="0" xfId="0" applyFill="1"/>
    <xf numFmtId="0" fontId="5" fillId="6" borderId="0" xfId="0" applyFont="1" applyFill="1"/>
    <xf numFmtId="0" fontId="5" fillId="6" borderId="0" xfId="0" applyFont="1" applyFill="1" applyBorder="1"/>
    <xf numFmtId="0" fontId="0" fillId="3" borderId="0" xfId="0" applyFill="1" applyBorder="1"/>
    <xf numFmtId="0" fontId="0" fillId="4" borderId="0" xfId="0" applyFill="1" applyBorder="1"/>
    <xf numFmtId="0" fontId="0" fillId="7" borderId="0" xfId="0" applyFill="1" applyBorder="1"/>
    <xf numFmtId="0" fontId="0" fillId="8" borderId="0" xfId="0" applyFill="1" applyBorder="1"/>
    <xf numFmtId="0" fontId="0" fillId="0" borderId="0" xfId="0" applyBorder="1"/>
    <xf numFmtId="0" fontId="0" fillId="0" borderId="0" xfId="0" applyFill="1" applyBorder="1"/>
    <xf numFmtId="0" fontId="4" fillId="5" borderId="0" xfId="0" applyFont="1" applyFill="1" applyBorder="1"/>
  </cellXfs>
  <cellStyles count="2">
    <cellStyle name="Hyperlink" xfId="1" builtinId="8"/>
    <cellStyle name="Normal" xfId="0" builtinId="0"/>
  </cellStyles>
  <dxfs count="1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2"/>
        </patternFill>
      </fill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1332398</xdr:colOff>
      <xdr:row>14</xdr:row>
      <xdr:rowOff>49089</xdr:rowOff>
    </xdr:from>
    <xdr:to>
      <xdr:col>1</xdr:col>
      <xdr:colOff>6623537</xdr:colOff>
      <xdr:row>23</xdr:row>
      <xdr:rowOff>131884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A297260-FC66-27DA-66DE-7BADD2280E10}"/>
            </a:ext>
          </a:extLst>
        </xdr:cNvPr>
        <xdr:cNvSpPr txBox="1"/>
      </xdr:nvSpPr>
      <xdr:spPr>
        <a:xfrm>
          <a:off x="2021129" y="3097089"/>
          <a:ext cx="5291139" cy="179729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solidFill>
                <a:srgbClr val="FF0000"/>
              </a:solidFill>
            </a:rPr>
            <a:t>Insight: Specific messages always appear with</a:t>
          </a:r>
          <a:r>
            <a:rPr lang="en-US" sz="1600" baseline="0">
              <a:solidFill>
                <a:srgbClr val="FF0000"/>
              </a:solidFill>
            </a:rPr>
            <a:t> a text string at at least as of a brief inventory on 2/22/26 contains a string with "FMfcg" that denotes the specific message. As of 2/22/26, this is what was used to differentiate between inboxes (where you want to prevent j and k vimium keys) and messages (where you don't want to prevent j and k vimium keys)</a:t>
          </a:r>
          <a:endParaRPr lang="en-US" sz="1600">
            <a:solidFill>
              <a:srgbClr val="FF0000"/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A8905C-6984-42CC-9C60-9E15E4CF07ED}" name="VimiumCShortcuts6" displayName="VimiumCShortcuts6" ref="B4:D71" totalsRowShown="0" headerRowDxfId="14" dataDxfId="13">
  <autoFilter ref="B4:D71" xr:uid="{ABA8905C-6984-42CC-9C60-9E15E4CF07ED}"/>
  <tableColumns count="3">
    <tableColumn id="1" xr3:uid="{9ADD61F9-5679-4230-A85E-90326F053388}" name="Area" dataDxfId="12"/>
    <tableColumn id="4" xr3:uid="{6A6E4E79-D335-403C-9405-4D229A01D393}" name="Action" dataDxfId="11"/>
    <tableColumn id="2" xr3:uid="{37CAB016-DBBD-4AC9-9D88-AD44F03BAFBC}" name="Shortcut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7342D93-D1E6-4FDB-8FBA-2850B02804E9}" name="GMailShortcuts79" displayName="GMailShortcuts79" ref="B4:E80" totalsRowShown="0" headerRowDxfId="9" dataDxfId="8">
  <autoFilter ref="B4:E80" xr:uid="{27342D93-D1E6-4FDB-8FBA-2850B02804E9}"/>
  <tableColumns count="4">
    <tableColumn id="1" xr3:uid="{6D7833A6-53C5-4EB8-8B30-07BA4EBC06B9}" name="Area" dataDxfId="7"/>
    <tableColumn id="2" xr3:uid="{76AACCDF-0A99-4E10-81BC-0E01EF47D528}" name="Action" dataDxfId="6"/>
    <tableColumn id="3" xr3:uid="{9DD23B84-957B-40BA-AFF5-16A0E22B8568}" name="Shortcut" dataDxfId="5"/>
    <tableColumn id="4" xr3:uid="{5B3FBB9D-E9CC-4A14-A521-304E7F3CD89D}" name="Change for Sean" dataDxfId="4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DB07FFF-9EAB-4128-BC17-F0A66EBD6286}">
  <we:reference id="wa200005502" version="1.0.0.12" store="en-US" storeType="OMEX"/>
  <we:alternateReferences>
    <we:reference id="wa200005502" version="1.0.0.12" store="wa200005502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3F13B-380D-44E2-AE93-2DF286F9D6BE}">
  <dimension ref="B4:D71"/>
  <sheetViews>
    <sheetView workbookViewId="0">
      <selection activeCell="D74" sqref="D74"/>
    </sheetView>
  </sheetViews>
  <sheetFormatPr defaultRowHeight="15" x14ac:dyDescent="0.25"/>
  <cols>
    <col min="2" max="2" width="18.625" customWidth="1"/>
    <col min="3" max="3" width="28.625" customWidth="1"/>
    <col min="4" max="4" width="21.625" customWidth="1"/>
  </cols>
  <sheetData>
    <row r="4" spans="2:4" x14ac:dyDescent="0.25">
      <c r="B4" s="2" t="s">
        <v>243</v>
      </c>
      <c r="C4" s="2" t="s">
        <v>136</v>
      </c>
      <c r="D4" s="2" t="s">
        <v>137</v>
      </c>
    </row>
    <row r="5" spans="2:4" x14ac:dyDescent="0.25">
      <c r="B5" s="3" t="s">
        <v>0</v>
      </c>
      <c r="C5" s="3" t="s">
        <v>2</v>
      </c>
      <c r="D5" s="3" t="s">
        <v>1</v>
      </c>
    </row>
    <row r="6" spans="2:4" x14ac:dyDescent="0.25">
      <c r="B6" s="3" t="s">
        <v>0</v>
      </c>
      <c r="C6" s="3" t="s">
        <v>4</v>
      </c>
      <c r="D6" s="3" t="s">
        <v>3</v>
      </c>
    </row>
    <row r="7" spans="2:4" x14ac:dyDescent="0.25">
      <c r="B7" s="3" t="s">
        <v>0</v>
      </c>
      <c r="C7" s="3" t="s">
        <v>6</v>
      </c>
      <c r="D7" s="3" t="s">
        <v>5</v>
      </c>
    </row>
    <row r="8" spans="2:4" x14ac:dyDescent="0.25">
      <c r="B8" s="3" t="s">
        <v>0</v>
      </c>
      <c r="C8" s="3" t="s">
        <v>8</v>
      </c>
      <c r="D8" s="3" t="s">
        <v>7</v>
      </c>
    </row>
    <row r="9" spans="2:4" ht="30" customHeight="1" x14ac:dyDescent="0.25">
      <c r="B9" s="3" t="s">
        <v>0</v>
      </c>
      <c r="C9" s="3" t="s">
        <v>10</v>
      </c>
      <c r="D9" s="3" t="s">
        <v>9</v>
      </c>
    </row>
    <row r="10" spans="2:4" ht="30" customHeight="1" x14ac:dyDescent="0.25">
      <c r="B10" s="3" t="s">
        <v>0</v>
      </c>
      <c r="C10" s="3" t="s">
        <v>12</v>
      </c>
      <c r="D10" s="3" t="s">
        <v>11</v>
      </c>
    </row>
    <row r="11" spans="2:4" x14ac:dyDescent="0.25">
      <c r="B11" s="3" t="s">
        <v>0</v>
      </c>
      <c r="C11" s="3" t="s">
        <v>14</v>
      </c>
      <c r="D11" s="3" t="s">
        <v>13</v>
      </c>
    </row>
    <row r="12" spans="2:4" x14ac:dyDescent="0.25">
      <c r="B12" s="3" t="s">
        <v>0</v>
      </c>
      <c r="C12" s="3" t="s">
        <v>16</v>
      </c>
      <c r="D12" s="3" t="s">
        <v>15</v>
      </c>
    </row>
    <row r="13" spans="2:4" x14ac:dyDescent="0.25">
      <c r="B13" s="3" t="s">
        <v>0</v>
      </c>
      <c r="C13" s="3" t="s">
        <v>18</v>
      </c>
      <c r="D13" s="3" t="s">
        <v>17</v>
      </c>
    </row>
    <row r="14" spans="2:4" x14ac:dyDescent="0.25">
      <c r="B14" s="3" t="s">
        <v>0</v>
      </c>
      <c r="C14" s="3" t="s">
        <v>20</v>
      </c>
      <c r="D14" s="3" t="s">
        <v>19</v>
      </c>
    </row>
    <row r="15" spans="2:4" x14ac:dyDescent="0.25">
      <c r="B15" s="3" t="s">
        <v>0</v>
      </c>
      <c r="C15" s="3" t="s">
        <v>22</v>
      </c>
      <c r="D15" s="3" t="s">
        <v>21</v>
      </c>
    </row>
    <row r="16" spans="2:4" x14ac:dyDescent="0.25">
      <c r="B16" s="3" t="s">
        <v>0</v>
      </c>
      <c r="C16" s="3" t="s">
        <v>24</v>
      </c>
      <c r="D16" s="3" t="s">
        <v>23</v>
      </c>
    </row>
    <row r="17" spans="2:4" x14ac:dyDescent="0.25">
      <c r="B17" s="3" t="s">
        <v>0</v>
      </c>
      <c r="C17" s="3" t="s">
        <v>26</v>
      </c>
      <c r="D17" s="3" t="s">
        <v>25</v>
      </c>
    </row>
    <row r="18" spans="2:4" x14ac:dyDescent="0.25">
      <c r="B18" s="3" t="s">
        <v>0</v>
      </c>
      <c r="C18" s="3" t="s">
        <v>28</v>
      </c>
      <c r="D18" s="3" t="s">
        <v>27</v>
      </c>
    </row>
    <row r="19" spans="2:4" x14ac:dyDescent="0.25">
      <c r="B19" s="3" t="s">
        <v>0</v>
      </c>
      <c r="C19" s="3" t="s">
        <v>30</v>
      </c>
      <c r="D19" s="3" t="s">
        <v>29</v>
      </c>
    </row>
    <row r="20" spans="2:4" x14ac:dyDescent="0.25">
      <c r="B20" s="3" t="s">
        <v>0</v>
      </c>
      <c r="C20" s="3" t="s">
        <v>32</v>
      </c>
      <c r="D20" s="3" t="s">
        <v>31</v>
      </c>
    </row>
    <row r="21" spans="2:4" x14ac:dyDescent="0.25">
      <c r="B21" s="3" t="s">
        <v>0</v>
      </c>
      <c r="C21" s="3" t="s">
        <v>34</v>
      </c>
      <c r="D21" s="3" t="s">
        <v>33</v>
      </c>
    </row>
    <row r="22" spans="2:4" x14ac:dyDescent="0.25">
      <c r="B22" s="3" t="s">
        <v>0</v>
      </c>
      <c r="C22" s="3" t="s">
        <v>36</v>
      </c>
      <c r="D22" s="3" t="s">
        <v>35</v>
      </c>
    </row>
    <row r="23" spans="2:4" x14ac:dyDescent="0.25">
      <c r="B23" s="3" t="s">
        <v>0</v>
      </c>
      <c r="C23" s="3" t="s">
        <v>38</v>
      </c>
      <c r="D23" s="3" t="s">
        <v>37</v>
      </c>
    </row>
    <row r="24" spans="2:4" ht="30" x14ac:dyDescent="0.25">
      <c r="B24" s="3" t="s">
        <v>0</v>
      </c>
      <c r="C24" s="3" t="s">
        <v>40</v>
      </c>
      <c r="D24" s="3" t="s">
        <v>39</v>
      </c>
    </row>
    <row r="25" spans="2:4" x14ac:dyDescent="0.25">
      <c r="B25" s="3" t="s">
        <v>0</v>
      </c>
      <c r="C25" s="3" t="s">
        <v>42</v>
      </c>
      <c r="D25" s="3" t="s">
        <v>41</v>
      </c>
    </row>
    <row r="26" spans="2:4" ht="30" x14ac:dyDescent="0.25">
      <c r="B26" s="3" t="s">
        <v>0</v>
      </c>
      <c r="C26" s="3" t="s">
        <v>44</v>
      </c>
      <c r="D26" s="3" t="s">
        <v>43</v>
      </c>
    </row>
    <row r="27" spans="2:4" x14ac:dyDescent="0.25">
      <c r="B27" s="3" t="s">
        <v>0</v>
      </c>
      <c r="C27" s="3" t="s">
        <v>46</v>
      </c>
      <c r="D27" s="3" t="s">
        <v>45</v>
      </c>
    </row>
    <row r="28" spans="2:4" ht="30" x14ac:dyDescent="0.25">
      <c r="B28" s="3" t="s">
        <v>0</v>
      </c>
      <c r="C28" s="3" t="s">
        <v>48</v>
      </c>
      <c r="D28" s="3" t="s">
        <v>47</v>
      </c>
    </row>
    <row r="29" spans="2:4" x14ac:dyDescent="0.25">
      <c r="B29" s="3" t="s">
        <v>0</v>
      </c>
      <c r="C29" s="3" t="s">
        <v>50</v>
      </c>
      <c r="D29" s="3" t="s">
        <v>49</v>
      </c>
    </row>
    <row r="30" spans="2:4" x14ac:dyDescent="0.25">
      <c r="B30" s="3" t="s">
        <v>0</v>
      </c>
      <c r="C30" s="3" t="s">
        <v>52</v>
      </c>
      <c r="D30" s="3" t="s">
        <v>51</v>
      </c>
    </row>
    <row r="31" spans="2:4" ht="30" x14ac:dyDescent="0.25">
      <c r="B31" s="3" t="s">
        <v>0</v>
      </c>
      <c r="C31" s="3" t="s">
        <v>54</v>
      </c>
      <c r="D31" s="3" t="s">
        <v>53</v>
      </c>
    </row>
    <row r="32" spans="2:4" x14ac:dyDescent="0.25">
      <c r="B32" s="3" t="s">
        <v>0</v>
      </c>
      <c r="C32" s="3" t="s">
        <v>56</v>
      </c>
      <c r="D32" s="3" t="s">
        <v>55</v>
      </c>
    </row>
    <row r="33" spans="2:4" ht="30" x14ac:dyDescent="0.25">
      <c r="B33" s="3" t="s">
        <v>0</v>
      </c>
      <c r="C33" s="3" t="s">
        <v>58</v>
      </c>
      <c r="D33" s="3" t="s">
        <v>57</v>
      </c>
    </row>
    <row r="34" spans="2:4" ht="30" x14ac:dyDescent="0.25">
      <c r="B34" s="3" t="s">
        <v>0</v>
      </c>
      <c r="C34" s="3" t="s">
        <v>60</v>
      </c>
      <c r="D34" s="3" t="s">
        <v>59</v>
      </c>
    </row>
    <row r="35" spans="2:4" x14ac:dyDescent="0.25">
      <c r="B35" s="3" t="s">
        <v>0</v>
      </c>
      <c r="C35" s="3" t="s">
        <v>62</v>
      </c>
      <c r="D35" s="3" t="s">
        <v>61</v>
      </c>
    </row>
    <row r="36" spans="2:4" x14ac:dyDescent="0.25">
      <c r="B36" s="3" t="s">
        <v>0</v>
      </c>
      <c r="C36" s="3" t="s">
        <v>64</v>
      </c>
      <c r="D36" s="3" t="s">
        <v>63</v>
      </c>
    </row>
    <row r="37" spans="2:4" x14ac:dyDescent="0.25">
      <c r="B37" s="3" t="s">
        <v>0</v>
      </c>
      <c r="C37" s="3" t="s">
        <v>66</v>
      </c>
      <c r="D37" s="3" t="s">
        <v>65</v>
      </c>
    </row>
    <row r="38" spans="2:4" x14ac:dyDescent="0.25">
      <c r="B38" s="3" t="s">
        <v>0</v>
      </c>
      <c r="C38" s="3" t="s">
        <v>68</v>
      </c>
      <c r="D38" s="3" t="s">
        <v>67</v>
      </c>
    </row>
    <row r="39" spans="2:4" x14ac:dyDescent="0.25">
      <c r="B39" s="3" t="s">
        <v>0</v>
      </c>
      <c r="C39" s="3" t="s">
        <v>70</v>
      </c>
      <c r="D39" s="3" t="s">
        <v>69</v>
      </c>
    </row>
    <row r="40" spans="2:4" ht="30" x14ac:dyDescent="0.25">
      <c r="B40" s="3" t="s">
        <v>134</v>
      </c>
      <c r="C40" s="3" t="s">
        <v>72</v>
      </c>
      <c r="D40" s="3" t="s">
        <v>71</v>
      </c>
    </row>
    <row r="41" spans="2:4" x14ac:dyDescent="0.25">
      <c r="B41" s="3" t="s">
        <v>134</v>
      </c>
      <c r="C41" s="3" t="s">
        <v>74</v>
      </c>
      <c r="D41" s="3" t="s">
        <v>73</v>
      </c>
    </row>
    <row r="42" spans="2:4" x14ac:dyDescent="0.25">
      <c r="B42" s="3" t="s">
        <v>134</v>
      </c>
      <c r="C42" s="3" t="s">
        <v>76</v>
      </c>
      <c r="D42" s="3" t="s">
        <v>75</v>
      </c>
    </row>
    <row r="43" spans="2:4" x14ac:dyDescent="0.25">
      <c r="B43" s="3" t="s">
        <v>134</v>
      </c>
      <c r="C43" s="3" t="s">
        <v>78</v>
      </c>
      <c r="D43" s="3" t="s">
        <v>77</v>
      </c>
    </row>
    <row r="44" spans="2:4" x14ac:dyDescent="0.25">
      <c r="B44" s="3" t="s">
        <v>134</v>
      </c>
      <c r="C44" s="3" t="s">
        <v>80</v>
      </c>
      <c r="D44" s="3" t="s">
        <v>79</v>
      </c>
    </row>
    <row r="45" spans="2:4" x14ac:dyDescent="0.25">
      <c r="B45" s="3" t="s">
        <v>134</v>
      </c>
      <c r="C45" s="3" t="s">
        <v>82</v>
      </c>
      <c r="D45" s="3" t="s">
        <v>81</v>
      </c>
    </row>
    <row r="46" spans="2:4" ht="30" x14ac:dyDescent="0.25">
      <c r="B46" s="3" t="s">
        <v>134</v>
      </c>
      <c r="C46" s="3" t="s">
        <v>84</v>
      </c>
      <c r="D46" s="3" t="s">
        <v>83</v>
      </c>
    </row>
    <row r="47" spans="2:4" x14ac:dyDescent="0.25">
      <c r="B47" s="3" t="s">
        <v>134</v>
      </c>
      <c r="C47" s="3" t="s">
        <v>86</v>
      </c>
      <c r="D47" s="3" t="s">
        <v>85</v>
      </c>
    </row>
    <row r="48" spans="2:4" x14ac:dyDescent="0.25">
      <c r="B48" s="3" t="s">
        <v>134</v>
      </c>
      <c r="C48" s="3" t="s">
        <v>87</v>
      </c>
      <c r="D48" s="3"/>
    </row>
    <row r="49" spans="2:4" x14ac:dyDescent="0.25">
      <c r="B49" s="3" t="s">
        <v>134</v>
      </c>
      <c r="C49" s="3" t="s">
        <v>89</v>
      </c>
      <c r="D49" s="3" t="s">
        <v>88</v>
      </c>
    </row>
    <row r="50" spans="2:4" ht="30" x14ac:dyDescent="0.25">
      <c r="B50" s="3" t="s">
        <v>134</v>
      </c>
      <c r="C50" s="3" t="s">
        <v>91</v>
      </c>
      <c r="D50" s="3" t="s">
        <v>90</v>
      </c>
    </row>
    <row r="51" spans="2:4" ht="30" x14ac:dyDescent="0.25">
      <c r="B51" s="3" t="s">
        <v>134</v>
      </c>
      <c r="C51" s="3" t="s">
        <v>93</v>
      </c>
      <c r="D51" s="3" t="s">
        <v>92</v>
      </c>
    </row>
    <row r="52" spans="2:4" ht="30" x14ac:dyDescent="0.25">
      <c r="B52" s="3" t="s">
        <v>134</v>
      </c>
      <c r="C52" s="3" t="s">
        <v>95</v>
      </c>
      <c r="D52" s="3" t="s">
        <v>94</v>
      </c>
    </row>
    <row r="53" spans="2:4" x14ac:dyDescent="0.25">
      <c r="B53" s="3" t="s">
        <v>134</v>
      </c>
      <c r="C53" s="3" t="s">
        <v>96</v>
      </c>
      <c r="D53" s="3"/>
    </row>
    <row r="54" spans="2:4" x14ac:dyDescent="0.25">
      <c r="B54" s="3" t="s">
        <v>134</v>
      </c>
      <c r="C54" s="3" t="s">
        <v>98</v>
      </c>
      <c r="D54" s="3" t="s">
        <v>97</v>
      </c>
    </row>
    <row r="55" spans="2:4" x14ac:dyDescent="0.25">
      <c r="B55" s="3" t="s">
        <v>134</v>
      </c>
      <c r="C55" s="3" t="s">
        <v>100</v>
      </c>
      <c r="D55" s="3" t="s">
        <v>99</v>
      </c>
    </row>
    <row r="56" spans="2:4" x14ac:dyDescent="0.25">
      <c r="B56" s="3" t="s">
        <v>134</v>
      </c>
      <c r="C56" s="3" t="s">
        <v>102</v>
      </c>
      <c r="D56" s="3" t="s">
        <v>101</v>
      </c>
    </row>
    <row r="57" spans="2:4" x14ac:dyDescent="0.25">
      <c r="B57" s="3" t="s">
        <v>135</v>
      </c>
      <c r="C57" s="3" t="s">
        <v>104</v>
      </c>
      <c r="D57" s="3" t="s">
        <v>103</v>
      </c>
    </row>
    <row r="58" spans="2:4" x14ac:dyDescent="0.25">
      <c r="B58" s="3" t="s">
        <v>135</v>
      </c>
      <c r="C58" s="3" t="s">
        <v>106</v>
      </c>
      <c r="D58" s="3" t="s">
        <v>105</v>
      </c>
    </row>
    <row r="59" spans="2:4" x14ac:dyDescent="0.25">
      <c r="B59" s="3" t="s">
        <v>135</v>
      </c>
      <c r="C59" s="3" t="s">
        <v>108</v>
      </c>
      <c r="D59" s="3" t="s">
        <v>107</v>
      </c>
    </row>
    <row r="60" spans="2:4" x14ac:dyDescent="0.25">
      <c r="B60" s="3" t="s">
        <v>135</v>
      </c>
      <c r="C60" s="3" t="s">
        <v>110</v>
      </c>
      <c r="D60" s="3" t="s">
        <v>109</v>
      </c>
    </row>
    <row r="61" spans="2:4" x14ac:dyDescent="0.25">
      <c r="B61" s="3" t="s">
        <v>135</v>
      </c>
      <c r="C61" s="3" t="s">
        <v>112</v>
      </c>
      <c r="D61" s="3" t="s">
        <v>111</v>
      </c>
    </row>
    <row r="62" spans="2:4" x14ac:dyDescent="0.25">
      <c r="B62" s="3" t="s">
        <v>135</v>
      </c>
      <c r="C62" s="3" t="s">
        <v>114</v>
      </c>
      <c r="D62" s="3" t="s">
        <v>113</v>
      </c>
    </row>
    <row r="63" spans="2:4" x14ac:dyDescent="0.25">
      <c r="B63" s="3" t="s">
        <v>135</v>
      </c>
      <c r="C63" s="3" t="s">
        <v>116</v>
      </c>
      <c r="D63" s="3" t="s">
        <v>115</v>
      </c>
    </row>
    <row r="64" spans="2:4" x14ac:dyDescent="0.25">
      <c r="B64" s="3" t="s">
        <v>135</v>
      </c>
      <c r="C64" s="3" t="s">
        <v>118</v>
      </c>
      <c r="D64" s="3" t="s">
        <v>117</v>
      </c>
    </row>
    <row r="65" spans="2:4" x14ac:dyDescent="0.25">
      <c r="B65" s="3" t="s">
        <v>135</v>
      </c>
      <c r="C65" s="3" t="s">
        <v>120</v>
      </c>
      <c r="D65" s="3" t="s">
        <v>119</v>
      </c>
    </row>
    <row r="66" spans="2:4" x14ac:dyDescent="0.25">
      <c r="B66" s="3" t="s">
        <v>135</v>
      </c>
      <c r="C66" s="3" t="s">
        <v>122</v>
      </c>
      <c r="D66" s="3" t="s">
        <v>121</v>
      </c>
    </row>
    <row r="67" spans="2:4" x14ac:dyDescent="0.25">
      <c r="B67" s="3" t="s">
        <v>135</v>
      </c>
      <c r="C67" s="3" t="s">
        <v>124</v>
      </c>
      <c r="D67" s="3" t="s">
        <v>123</v>
      </c>
    </row>
    <row r="68" spans="2:4" ht="30" x14ac:dyDescent="0.25">
      <c r="B68" s="3" t="s">
        <v>135</v>
      </c>
      <c r="C68" s="3" t="s">
        <v>126</v>
      </c>
      <c r="D68" s="3" t="s">
        <v>125</v>
      </c>
    </row>
    <row r="69" spans="2:4" x14ac:dyDescent="0.25">
      <c r="B69" s="3" t="s">
        <v>135</v>
      </c>
      <c r="C69" s="3" t="s">
        <v>128</v>
      </c>
      <c r="D69" s="3" t="s">
        <v>127</v>
      </c>
    </row>
    <row r="70" spans="2:4" x14ac:dyDescent="0.25">
      <c r="B70" s="3" t="s">
        <v>135</v>
      </c>
      <c r="C70" s="3" t="s">
        <v>130</v>
      </c>
      <c r="D70" s="3" t="s">
        <v>129</v>
      </c>
    </row>
    <row r="71" spans="2:4" x14ac:dyDescent="0.25">
      <c r="B71" s="3" t="s">
        <v>131</v>
      </c>
      <c r="C71" s="3" t="s">
        <v>133</v>
      </c>
      <c r="D71" s="3" t="s">
        <v>132</v>
      </c>
    </row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20A68-039D-46CF-93AA-C72E5E147E77}">
  <dimension ref="B4:E80"/>
  <sheetViews>
    <sheetView workbookViewId="0">
      <selection activeCell="D4" sqref="D4"/>
    </sheetView>
  </sheetViews>
  <sheetFormatPr defaultRowHeight="15" x14ac:dyDescent="0.25"/>
  <cols>
    <col min="2" max="2" width="18.625" customWidth="1"/>
    <col min="3" max="3" width="28.625" customWidth="1"/>
    <col min="4" max="4" width="21.625" customWidth="1"/>
  </cols>
  <sheetData>
    <row r="4" spans="2:5" ht="30" x14ac:dyDescent="0.25">
      <c r="B4" s="2" t="s">
        <v>243</v>
      </c>
      <c r="C4" s="4" t="s">
        <v>136</v>
      </c>
      <c r="D4" s="4" t="s">
        <v>137</v>
      </c>
      <c r="E4" s="2" t="s">
        <v>292</v>
      </c>
    </row>
    <row r="5" spans="2:5" ht="30" x14ac:dyDescent="0.25">
      <c r="B5" s="3" t="s">
        <v>153</v>
      </c>
      <c r="C5" s="3" t="s">
        <v>138</v>
      </c>
      <c r="D5" s="6" t="s">
        <v>139</v>
      </c>
      <c r="E5" s="1"/>
    </row>
    <row r="6" spans="2:5" ht="30" x14ac:dyDescent="0.25">
      <c r="B6" s="3" t="s">
        <v>153</v>
      </c>
      <c r="C6" s="3" t="s">
        <v>140</v>
      </c>
      <c r="D6" s="5" t="s">
        <v>90</v>
      </c>
      <c r="E6" s="1"/>
    </row>
    <row r="7" spans="2:5" x14ac:dyDescent="0.25">
      <c r="B7" s="3" t="s">
        <v>153</v>
      </c>
      <c r="C7" s="3" t="s">
        <v>141</v>
      </c>
      <c r="D7" s="5" t="s">
        <v>244</v>
      </c>
      <c r="E7" s="1"/>
    </row>
    <row r="8" spans="2:5" x14ac:dyDescent="0.25">
      <c r="B8" s="3" t="s">
        <v>153</v>
      </c>
      <c r="C8" s="3" t="s">
        <v>142</v>
      </c>
      <c r="D8" s="5" t="s">
        <v>143</v>
      </c>
      <c r="E8" s="1"/>
    </row>
    <row r="9" spans="2:5" ht="30" customHeight="1" x14ac:dyDescent="0.25">
      <c r="B9" s="3" t="s">
        <v>153</v>
      </c>
      <c r="C9" s="3" t="s">
        <v>144</v>
      </c>
      <c r="D9" s="5" t="s">
        <v>245</v>
      </c>
      <c r="E9" s="1"/>
    </row>
    <row r="10" spans="2:5" ht="30" customHeight="1" x14ac:dyDescent="0.25">
      <c r="B10" s="3" t="s">
        <v>153</v>
      </c>
      <c r="C10" s="3" t="s">
        <v>145</v>
      </c>
      <c r="D10" s="5" t="s">
        <v>246</v>
      </c>
      <c r="E10" s="1"/>
    </row>
    <row r="11" spans="2:5" x14ac:dyDescent="0.25">
      <c r="B11" s="3" t="s">
        <v>153</v>
      </c>
      <c r="C11" s="3" t="s">
        <v>146</v>
      </c>
      <c r="D11" s="6" t="s">
        <v>247</v>
      </c>
      <c r="E11" s="1"/>
    </row>
    <row r="12" spans="2:5" x14ac:dyDescent="0.25">
      <c r="B12" s="3" t="s">
        <v>153</v>
      </c>
      <c r="C12" s="3" t="s">
        <v>147</v>
      </c>
      <c r="D12" s="5" t="s">
        <v>248</v>
      </c>
      <c r="E12" s="1"/>
    </row>
    <row r="13" spans="2:5" x14ac:dyDescent="0.25">
      <c r="B13" s="3" t="s">
        <v>153</v>
      </c>
      <c r="C13" s="3" t="s">
        <v>148</v>
      </c>
      <c r="D13" s="5" t="s">
        <v>249</v>
      </c>
      <c r="E13" s="1"/>
    </row>
    <row r="14" spans="2:5" x14ac:dyDescent="0.25">
      <c r="B14" s="3" t="s">
        <v>153</v>
      </c>
      <c r="C14" s="3" t="s">
        <v>149</v>
      </c>
      <c r="D14" s="5" t="s">
        <v>250</v>
      </c>
      <c r="E14" s="1"/>
    </row>
    <row r="15" spans="2:5" x14ac:dyDescent="0.25">
      <c r="B15" s="3" t="s">
        <v>153</v>
      </c>
      <c r="C15" s="3" t="s">
        <v>150</v>
      </c>
      <c r="D15" s="5" t="s">
        <v>251</v>
      </c>
      <c r="E15" s="1"/>
    </row>
    <row r="16" spans="2:5" ht="30" x14ac:dyDescent="0.25">
      <c r="B16" s="3" t="s">
        <v>153</v>
      </c>
      <c r="C16" s="3" t="s">
        <v>151</v>
      </c>
      <c r="D16" s="5" t="s">
        <v>252</v>
      </c>
      <c r="E16" s="1"/>
    </row>
    <row r="17" spans="2:5" x14ac:dyDescent="0.25">
      <c r="B17" s="3" t="s">
        <v>153</v>
      </c>
      <c r="C17" s="3" t="s">
        <v>152</v>
      </c>
      <c r="D17" s="5" t="s">
        <v>253</v>
      </c>
      <c r="E17" s="1"/>
    </row>
    <row r="18" spans="2:5" x14ac:dyDescent="0.25">
      <c r="B18" s="3" t="s">
        <v>170</v>
      </c>
      <c r="C18" s="3" t="s">
        <v>154</v>
      </c>
      <c r="D18" s="5" t="s">
        <v>254</v>
      </c>
      <c r="E18" s="1"/>
    </row>
    <row r="19" spans="2:5" x14ac:dyDescent="0.25">
      <c r="B19" s="3" t="s">
        <v>170</v>
      </c>
      <c r="C19" s="3" t="s">
        <v>155</v>
      </c>
      <c r="D19" s="5" t="s">
        <v>255</v>
      </c>
      <c r="E19" s="1"/>
    </row>
    <row r="20" spans="2:5" x14ac:dyDescent="0.25">
      <c r="B20" s="3" t="s">
        <v>170</v>
      </c>
      <c r="C20" s="3" t="s">
        <v>156</v>
      </c>
      <c r="D20" s="5" t="s">
        <v>256</v>
      </c>
      <c r="E20" s="1"/>
    </row>
    <row r="21" spans="2:5" x14ac:dyDescent="0.25">
      <c r="B21" s="3" t="s">
        <v>170</v>
      </c>
      <c r="C21" s="3" t="s">
        <v>157</v>
      </c>
      <c r="D21" s="5" t="s">
        <v>257</v>
      </c>
      <c r="E21" s="1"/>
    </row>
    <row r="22" spans="2:5" x14ac:dyDescent="0.25">
      <c r="B22" s="3" t="s">
        <v>170</v>
      </c>
      <c r="C22" s="3" t="s">
        <v>158</v>
      </c>
      <c r="D22" s="5" t="s">
        <v>258</v>
      </c>
      <c r="E22" s="1"/>
    </row>
    <row r="23" spans="2:5" x14ac:dyDescent="0.25">
      <c r="B23" s="3" t="s">
        <v>170</v>
      </c>
      <c r="C23" s="3" t="s">
        <v>159</v>
      </c>
      <c r="D23" s="5" t="s">
        <v>259</v>
      </c>
      <c r="E23" s="1"/>
    </row>
    <row r="24" spans="2:5" x14ac:dyDescent="0.25">
      <c r="B24" s="3" t="s">
        <v>170</v>
      </c>
      <c r="C24" s="3" t="s">
        <v>160</v>
      </c>
      <c r="D24" s="5" t="s">
        <v>260</v>
      </c>
      <c r="E24" s="1"/>
    </row>
    <row r="25" spans="2:5" x14ac:dyDescent="0.25">
      <c r="B25" s="3" t="s">
        <v>170</v>
      </c>
      <c r="C25" s="3" t="s">
        <v>161</v>
      </c>
      <c r="D25" s="5" t="s">
        <v>261</v>
      </c>
      <c r="E25" s="1"/>
    </row>
    <row r="26" spans="2:5" x14ac:dyDescent="0.25">
      <c r="B26" s="3" t="s">
        <v>170</v>
      </c>
      <c r="C26" s="3" t="s">
        <v>162</v>
      </c>
      <c r="D26" s="5" t="s">
        <v>262</v>
      </c>
      <c r="E26" s="1"/>
    </row>
    <row r="27" spans="2:5" x14ac:dyDescent="0.25">
      <c r="B27" s="3" t="s">
        <v>170</v>
      </c>
      <c r="C27" s="3" t="s">
        <v>163</v>
      </c>
      <c r="D27" s="5" t="s">
        <v>263</v>
      </c>
      <c r="E27" s="1"/>
    </row>
    <row r="28" spans="2:5" x14ac:dyDescent="0.25">
      <c r="B28" s="3" t="s">
        <v>170</v>
      </c>
      <c r="C28" s="3" t="s">
        <v>164</v>
      </c>
      <c r="D28" s="5" t="s">
        <v>264</v>
      </c>
      <c r="E28" s="1"/>
    </row>
    <row r="29" spans="2:5" x14ac:dyDescent="0.25">
      <c r="B29" s="3" t="s">
        <v>170</v>
      </c>
      <c r="C29" s="3" t="s">
        <v>165</v>
      </c>
      <c r="D29" s="5" t="s">
        <v>265</v>
      </c>
      <c r="E29" s="1"/>
    </row>
    <row r="30" spans="2:5" x14ac:dyDescent="0.25">
      <c r="B30" s="3" t="s">
        <v>170</v>
      </c>
      <c r="C30" s="3" t="s">
        <v>166</v>
      </c>
      <c r="D30" s="5" t="s">
        <v>266</v>
      </c>
      <c r="E30" s="1"/>
    </row>
    <row r="31" spans="2:5" x14ac:dyDescent="0.25">
      <c r="B31" s="3" t="s">
        <v>170</v>
      </c>
      <c r="C31" s="3" t="s">
        <v>167</v>
      </c>
      <c r="D31" s="5" t="s">
        <v>267</v>
      </c>
      <c r="E31" s="1"/>
    </row>
    <row r="32" spans="2:5" x14ac:dyDescent="0.25">
      <c r="B32" s="3" t="s">
        <v>170</v>
      </c>
      <c r="C32" s="3" t="s">
        <v>168</v>
      </c>
      <c r="D32" s="5" t="s">
        <v>268</v>
      </c>
      <c r="E32" s="1"/>
    </row>
    <row r="33" spans="2:5" x14ac:dyDescent="0.25">
      <c r="B33" s="3" t="s">
        <v>170</v>
      </c>
      <c r="C33" s="3" t="s">
        <v>169</v>
      </c>
      <c r="D33" s="5" t="s">
        <v>269</v>
      </c>
      <c r="E33" s="1"/>
    </row>
    <row r="34" spans="2:5" x14ac:dyDescent="0.25">
      <c r="B34" s="3" t="s">
        <v>208</v>
      </c>
      <c r="C34" s="3" t="s">
        <v>171</v>
      </c>
      <c r="D34" s="5" t="s">
        <v>172</v>
      </c>
      <c r="E34" s="1"/>
    </row>
    <row r="35" spans="2:5" x14ac:dyDescent="0.25">
      <c r="B35" s="3" t="s">
        <v>208</v>
      </c>
      <c r="C35" s="3" t="s">
        <v>173</v>
      </c>
      <c r="D35" s="6" t="s">
        <v>115</v>
      </c>
      <c r="E35" s="1"/>
    </row>
    <row r="36" spans="2:5" ht="30" x14ac:dyDescent="0.25">
      <c r="B36" s="3" t="s">
        <v>208</v>
      </c>
      <c r="C36" s="3" t="s">
        <v>174</v>
      </c>
      <c r="D36" s="5" t="s">
        <v>175</v>
      </c>
      <c r="E36" s="1"/>
    </row>
    <row r="37" spans="2:5" x14ac:dyDescent="0.25">
      <c r="B37" s="3" t="s">
        <v>208</v>
      </c>
      <c r="C37" s="3" t="s">
        <v>176</v>
      </c>
      <c r="D37" s="6" t="s">
        <v>177</v>
      </c>
      <c r="E37" s="1"/>
    </row>
    <row r="38" spans="2:5" x14ac:dyDescent="0.25">
      <c r="B38" s="3" t="s">
        <v>208</v>
      </c>
      <c r="C38" s="3" t="s">
        <v>178</v>
      </c>
      <c r="D38" s="5" t="s">
        <v>67</v>
      </c>
      <c r="E38" s="1"/>
    </row>
    <row r="39" spans="2:5" x14ac:dyDescent="0.25">
      <c r="B39" s="3" t="s">
        <v>208</v>
      </c>
      <c r="C39" s="3" t="s">
        <v>179</v>
      </c>
      <c r="D39" s="5" t="s">
        <v>180</v>
      </c>
      <c r="E39" s="1"/>
    </row>
    <row r="40" spans="2:5" x14ac:dyDescent="0.25">
      <c r="B40" s="3" t="s">
        <v>208</v>
      </c>
      <c r="C40" s="3" t="s">
        <v>181</v>
      </c>
      <c r="D40" s="5" t="s">
        <v>182</v>
      </c>
      <c r="E40" s="1"/>
    </row>
    <row r="41" spans="2:5" x14ac:dyDescent="0.25">
      <c r="B41" s="3" t="s">
        <v>208</v>
      </c>
      <c r="C41" s="3" t="s">
        <v>183</v>
      </c>
      <c r="D41" s="5" t="s">
        <v>27</v>
      </c>
      <c r="E41" s="1"/>
    </row>
    <row r="42" spans="2:5" x14ac:dyDescent="0.25">
      <c r="B42" s="3" t="s">
        <v>208</v>
      </c>
      <c r="C42" s="3" t="s">
        <v>184</v>
      </c>
      <c r="D42" s="5" t="s">
        <v>270</v>
      </c>
      <c r="E42" s="1"/>
    </row>
    <row r="43" spans="2:5" x14ac:dyDescent="0.25">
      <c r="B43" s="3" t="s">
        <v>208</v>
      </c>
      <c r="C43" s="3" t="s">
        <v>185</v>
      </c>
      <c r="D43" s="6" t="s">
        <v>186</v>
      </c>
      <c r="E43" s="1"/>
    </row>
    <row r="44" spans="2:5" x14ac:dyDescent="0.25">
      <c r="B44" s="3" t="s">
        <v>208</v>
      </c>
      <c r="C44" s="3" t="s">
        <v>187</v>
      </c>
      <c r="D44" s="5" t="s">
        <v>271</v>
      </c>
      <c r="E44" s="1"/>
    </row>
    <row r="45" spans="2:5" x14ac:dyDescent="0.25">
      <c r="B45" s="3" t="s">
        <v>208</v>
      </c>
      <c r="C45" s="3" t="s">
        <v>188</v>
      </c>
      <c r="D45" s="5" t="s">
        <v>1</v>
      </c>
      <c r="E45" s="1"/>
    </row>
    <row r="46" spans="2:5" x14ac:dyDescent="0.25">
      <c r="B46" s="3" t="s">
        <v>208</v>
      </c>
      <c r="C46" s="3" t="s">
        <v>189</v>
      </c>
      <c r="D46" s="5" t="s">
        <v>272</v>
      </c>
      <c r="E46" s="1"/>
    </row>
    <row r="47" spans="2:5" x14ac:dyDescent="0.25">
      <c r="B47" s="3" t="s">
        <v>208</v>
      </c>
      <c r="C47" s="3" t="s">
        <v>190</v>
      </c>
      <c r="D47" s="5" t="s">
        <v>273</v>
      </c>
      <c r="E47" s="1"/>
    </row>
    <row r="48" spans="2:5" ht="30" x14ac:dyDescent="0.25">
      <c r="B48" s="3" t="s">
        <v>208</v>
      </c>
      <c r="C48" s="3" t="s">
        <v>191</v>
      </c>
      <c r="D48" s="5" t="s">
        <v>192</v>
      </c>
      <c r="E48" s="1"/>
    </row>
    <row r="49" spans="2:5" x14ac:dyDescent="0.25">
      <c r="B49" s="3" t="s">
        <v>208</v>
      </c>
      <c r="C49" s="3" t="s">
        <v>193</v>
      </c>
      <c r="D49" s="5" t="s">
        <v>194</v>
      </c>
      <c r="E49" s="1"/>
    </row>
    <row r="50" spans="2:5" x14ac:dyDescent="0.25">
      <c r="B50" s="3" t="s">
        <v>208</v>
      </c>
      <c r="C50" s="3" t="s">
        <v>195</v>
      </c>
      <c r="D50" s="5" t="s">
        <v>274</v>
      </c>
      <c r="E50" s="1"/>
    </row>
    <row r="51" spans="2:5" x14ac:dyDescent="0.25">
      <c r="B51" s="3" t="s">
        <v>208</v>
      </c>
      <c r="C51" s="3" t="s">
        <v>196</v>
      </c>
      <c r="D51" s="5" t="s">
        <v>275</v>
      </c>
      <c r="E51" s="1"/>
    </row>
    <row r="52" spans="2:5" ht="30" x14ac:dyDescent="0.25">
      <c r="B52" s="3" t="s">
        <v>208</v>
      </c>
      <c r="C52" s="3" t="s">
        <v>197</v>
      </c>
      <c r="D52" s="5" t="s">
        <v>198</v>
      </c>
      <c r="E52" s="1"/>
    </row>
    <row r="53" spans="2:5" x14ac:dyDescent="0.25">
      <c r="B53" s="3" t="s">
        <v>208</v>
      </c>
      <c r="C53" s="3" t="s">
        <v>199</v>
      </c>
      <c r="D53" s="5" t="s">
        <v>276</v>
      </c>
      <c r="E53" s="1"/>
    </row>
    <row r="54" spans="2:5" x14ac:dyDescent="0.25">
      <c r="B54" s="3" t="s">
        <v>208</v>
      </c>
      <c r="C54" s="3" t="s">
        <v>200</v>
      </c>
      <c r="D54" s="5" t="s">
        <v>201</v>
      </c>
      <c r="E54" s="1"/>
    </row>
    <row r="55" spans="2:5" x14ac:dyDescent="0.25">
      <c r="B55" s="3" t="s">
        <v>208</v>
      </c>
      <c r="C55" s="3" t="s">
        <v>202</v>
      </c>
      <c r="D55" s="5" t="s">
        <v>75</v>
      </c>
      <c r="E55" s="1"/>
    </row>
    <row r="56" spans="2:5" x14ac:dyDescent="0.25">
      <c r="B56" s="3" t="s">
        <v>208</v>
      </c>
      <c r="C56" s="3" t="s">
        <v>203</v>
      </c>
      <c r="D56" s="6" t="s">
        <v>204</v>
      </c>
      <c r="E56" s="1"/>
    </row>
    <row r="57" spans="2:5" x14ac:dyDescent="0.25">
      <c r="B57" s="3" t="s">
        <v>208</v>
      </c>
      <c r="C57" s="3" t="s">
        <v>205</v>
      </c>
      <c r="D57" s="6" t="s">
        <v>206</v>
      </c>
      <c r="E57" s="1"/>
    </row>
    <row r="58" spans="2:5" x14ac:dyDescent="0.25">
      <c r="B58" s="3" t="s">
        <v>208</v>
      </c>
      <c r="C58" s="3" t="s">
        <v>207</v>
      </c>
      <c r="D58" s="5" t="s">
        <v>277</v>
      </c>
      <c r="E58" s="1"/>
    </row>
    <row r="59" spans="2:5" x14ac:dyDescent="0.25">
      <c r="B59" s="3" t="s">
        <v>209</v>
      </c>
      <c r="C59" s="3" t="s">
        <v>210</v>
      </c>
      <c r="D59" s="6" t="s">
        <v>278</v>
      </c>
      <c r="E59" s="1"/>
    </row>
    <row r="60" spans="2:5" x14ac:dyDescent="0.25">
      <c r="B60" s="3" t="s">
        <v>209</v>
      </c>
      <c r="C60" s="3" t="s">
        <v>211</v>
      </c>
      <c r="D60" s="5" t="s">
        <v>279</v>
      </c>
      <c r="E60" s="1"/>
    </row>
    <row r="61" spans="2:5" x14ac:dyDescent="0.25">
      <c r="B61" s="3" t="s">
        <v>209</v>
      </c>
      <c r="C61" s="3" t="s">
        <v>212</v>
      </c>
      <c r="D61" s="5" t="s">
        <v>280</v>
      </c>
      <c r="E61" s="1"/>
    </row>
    <row r="62" spans="2:5" x14ac:dyDescent="0.25">
      <c r="B62" s="3" t="s">
        <v>209</v>
      </c>
      <c r="C62" s="3" t="s">
        <v>213</v>
      </c>
      <c r="D62" s="5" t="s">
        <v>281</v>
      </c>
      <c r="E62" s="1"/>
    </row>
    <row r="63" spans="2:5" x14ac:dyDescent="0.25">
      <c r="B63" s="3" t="s">
        <v>209</v>
      </c>
      <c r="C63" s="3" t="s">
        <v>214</v>
      </c>
      <c r="D63" s="5" t="s">
        <v>282</v>
      </c>
      <c r="E63" s="1"/>
    </row>
    <row r="64" spans="2:5" x14ac:dyDescent="0.25">
      <c r="B64" s="3" t="s">
        <v>209</v>
      </c>
      <c r="C64" s="3" t="s">
        <v>215</v>
      </c>
      <c r="D64" s="5" t="s">
        <v>283</v>
      </c>
      <c r="E64" s="1"/>
    </row>
    <row r="65" spans="2:5" x14ac:dyDescent="0.25">
      <c r="B65" s="3" t="s">
        <v>229</v>
      </c>
      <c r="C65" s="3" t="s">
        <v>216</v>
      </c>
      <c r="D65" s="5" t="s">
        <v>217</v>
      </c>
      <c r="E65" s="1"/>
    </row>
    <row r="66" spans="2:5" x14ac:dyDescent="0.25">
      <c r="B66" s="3" t="s">
        <v>229</v>
      </c>
      <c r="C66" s="3" t="s">
        <v>218</v>
      </c>
      <c r="D66" s="5" t="s">
        <v>219</v>
      </c>
      <c r="E66" s="1"/>
    </row>
    <row r="67" spans="2:5" x14ac:dyDescent="0.25">
      <c r="B67" s="3" t="s">
        <v>229</v>
      </c>
      <c r="C67" s="3" t="s">
        <v>220</v>
      </c>
      <c r="D67" s="6" t="s">
        <v>25</v>
      </c>
      <c r="E67" s="1" t="s">
        <v>293</v>
      </c>
    </row>
    <row r="68" spans="2:5" x14ac:dyDescent="0.25">
      <c r="B68" s="3" t="s">
        <v>229</v>
      </c>
      <c r="C68" s="3" t="s">
        <v>221</v>
      </c>
      <c r="D68" s="5" t="s">
        <v>222</v>
      </c>
      <c r="E68" s="1"/>
    </row>
    <row r="69" spans="2:5" x14ac:dyDescent="0.25">
      <c r="B69" s="3" t="s">
        <v>229</v>
      </c>
      <c r="C69" s="3" t="s">
        <v>223</v>
      </c>
      <c r="D69" s="6" t="s">
        <v>224</v>
      </c>
      <c r="E69" s="1"/>
    </row>
    <row r="70" spans="2:5" x14ac:dyDescent="0.25">
      <c r="B70" s="3" t="s">
        <v>229</v>
      </c>
      <c r="C70" s="3" t="s">
        <v>225</v>
      </c>
      <c r="D70" s="5" t="s">
        <v>284</v>
      </c>
      <c r="E70" s="1"/>
    </row>
    <row r="71" spans="2:5" x14ac:dyDescent="0.25">
      <c r="B71" s="3" t="s">
        <v>229</v>
      </c>
      <c r="C71" s="3" t="s">
        <v>226</v>
      </c>
      <c r="D71" s="5" t="s">
        <v>69</v>
      </c>
      <c r="E71" s="1"/>
    </row>
    <row r="72" spans="2:5" x14ac:dyDescent="0.25">
      <c r="B72" s="3" t="s">
        <v>229</v>
      </c>
      <c r="C72" s="3" t="s">
        <v>227</v>
      </c>
      <c r="D72" s="5" t="s">
        <v>228</v>
      </c>
      <c r="E72" s="1"/>
    </row>
    <row r="73" spans="2:5" x14ac:dyDescent="0.25">
      <c r="B73" s="3" t="s">
        <v>242</v>
      </c>
      <c r="C73" s="3" t="s">
        <v>230</v>
      </c>
      <c r="D73" s="6" t="s">
        <v>231</v>
      </c>
      <c r="E73" s="1"/>
    </row>
    <row r="74" spans="2:5" x14ac:dyDescent="0.25">
      <c r="B74" s="3" t="s">
        <v>242</v>
      </c>
      <c r="C74" s="3" t="s">
        <v>232</v>
      </c>
      <c r="D74" s="5" t="s">
        <v>23</v>
      </c>
      <c r="E74" s="1"/>
    </row>
    <row r="75" spans="2:5" x14ac:dyDescent="0.25">
      <c r="B75" s="3" t="s">
        <v>242</v>
      </c>
      <c r="C75" s="3" t="s">
        <v>233</v>
      </c>
      <c r="D75" s="5" t="s">
        <v>88</v>
      </c>
      <c r="E75" s="1"/>
    </row>
    <row r="76" spans="2:5" x14ac:dyDescent="0.25">
      <c r="B76" s="3" t="s">
        <v>242</v>
      </c>
      <c r="C76" s="3" t="s">
        <v>234</v>
      </c>
      <c r="D76" s="5" t="s">
        <v>235</v>
      </c>
      <c r="E76" s="1"/>
    </row>
    <row r="77" spans="2:5" x14ac:dyDescent="0.25">
      <c r="B77" s="3" t="s">
        <v>242</v>
      </c>
      <c r="C77" s="3" t="s">
        <v>236</v>
      </c>
      <c r="D77" s="5" t="s">
        <v>237</v>
      </c>
      <c r="E77" s="1"/>
    </row>
    <row r="78" spans="2:5" x14ac:dyDescent="0.25">
      <c r="B78" s="3" t="s">
        <v>242</v>
      </c>
      <c r="C78" s="3" t="s">
        <v>238</v>
      </c>
      <c r="D78" s="5" t="s">
        <v>239</v>
      </c>
      <c r="E78" s="1"/>
    </row>
    <row r="79" spans="2:5" x14ac:dyDescent="0.25">
      <c r="B79" s="3" t="s">
        <v>242</v>
      </c>
      <c r="C79" s="3" t="s">
        <v>240</v>
      </c>
      <c r="D79" s="5" t="s">
        <v>13</v>
      </c>
      <c r="E79" s="1"/>
    </row>
    <row r="80" spans="2:5" x14ac:dyDescent="0.25">
      <c r="B80" s="3" t="s">
        <v>242</v>
      </c>
      <c r="C80" s="3" t="s">
        <v>241</v>
      </c>
      <c r="D80" s="5" t="s">
        <v>132</v>
      </c>
      <c r="E80" s="1"/>
    </row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648E5-3341-4985-ADE8-13726D3AD9C6}">
  <dimension ref="B4:I33"/>
  <sheetViews>
    <sheetView tabSelected="1" zoomScaleNormal="100" workbookViewId="0">
      <selection activeCell="H2" sqref="H2"/>
    </sheetView>
  </sheetViews>
  <sheetFormatPr defaultRowHeight="15" x14ac:dyDescent="0.25"/>
  <cols>
    <col min="2" max="2" width="13.625" customWidth="1"/>
    <col min="3" max="3" width="35.625" customWidth="1"/>
    <col min="4" max="4" width="24.625" customWidth="1"/>
    <col min="5" max="6" width="18.625" customWidth="1"/>
    <col min="8" max="9" width="18.625" customWidth="1"/>
  </cols>
  <sheetData>
    <row r="4" spans="2:6" x14ac:dyDescent="0.25">
      <c r="B4" s="10" t="s">
        <v>312</v>
      </c>
      <c r="C4" s="11" t="s">
        <v>316</v>
      </c>
      <c r="D4" s="12" t="s">
        <v>317</v>
      </c>
      <c r="E4" s="13" t="s">
        <v>300</v>
      </c>
      <c r="F4" s="14" t="s">
        <v>301</v>
      </c>
    </row>
    <row r="5" spans="2:6" x14ac:dyDescent="0.25">
      <c r="B5" s="15" t="s">
        <v>88</v>
      </c>
      <c r="C5" s="16" t="s">
        <v>89</v>
      </c>
      <c r="D5" s="16" t="s">
        <v>233</v>
      </c>
      <c r="E5" s="15" t="s">
        <v>298</v>
      </c>
      <c r="F5" s="15" t="s">
        <v>298</v>
      </c>
    </row>
    <row r="6" spans="2:6" x14ac:dyDescent="0.25">
      <c r="B6" s="15" t="s">
        <v>69</v>
      </c>
      <c r="C6" s="16" t="s">
        <v>70</v>
      </c>
      <c r="D6" s="16" t="s">
        <v>226</v>
      </c>
      <c r="E6" s="15" t="s">
        <v>298</v>
      </c>
      <c r="F6" s="15" t="s">
        <v>325</v>
      </c>
    </row>
    <row r="7" spans="2:6" x14ac:dyDescent="0.25">
      <c r="B7" s="15" t="s">
        <v>313</v>
      </c>
      <c r="C7" s="16" t="s">
        <v>106</v>
      </c>
      <c r="D7" s="16" t="s">
        <v>223</v>
      </c>
      <c r="E7" s="15" t="s">
        <v>297</v>
      </c>
      <c r="F7" s="15" t="s">
        <v>298</v>
      </c>
    </row>
    <row r="8" spans="2:6" x14ac:dyDescent="0.25">
      <c r="B8" s="15" t="s">
        <v>314</v>
      </c>
      <c r="C8" s="16" t="s">
        <v>104</v>
      </c>
      <c r="D8" s="16" t="s">
        <v>221</v>
      </c>
      <c r="E8" s="15" t="s">
        <v>297</v>
      </c>
      <c r="F8" s="15" t="s">
        <v>298</v>
      </c>
    </row>
    <row r="9" spans="2:6" x14ac:dyDescent="0.25">
      <c r="B9" s="15" t="s">
        <v>99</v>
      </c>
      <c r="C9" s="16" t="s">
        <v>295</v>
      </c>
      <c r="D9" s="16" t="s">
        <v>240</v>
      </c>
      <c r="E9" s="15" t="s">
        <v>297</v>
      </c>
      <c r="F9" s="15" t="s">
        <v>297</v>
      </c>
    </row>
    <row r="10" spans="2:6" x14ac:dyDescent="0.25">
      <c r="B10" s="15" t="s">
        <v>73</v>
      </c>
      <c r="C10" s="16" t="s">
        <v>72</v>
      </c>
      <c r="D10" s="17" t="s">
        <v>294</v>
      </c>
      <c r="E10" s="15" t="s">
        <v>297</v>
      </c>
      <c r="F10" s="15" t="s">
        <v>297</v>
      </c>
    </row>
    <row r="11" spans="2:6" x14ac:dyDescent="0.25">
      <c r="B11" s="15" t="s">
        <v>117</v>
      </c>
      <c r="C11" s="16" t="s">
        <v>296</v>
      </c>
      <c r="D11" s="16" t="s">
        <v>173</v>
      </c>
      <c r="E11" s="15" t="s">
        <v>297</v>
      </c>
      <c r="F11" s="15" t="s">
        <v>297</v>
      </c>
    </row>
    <row r="12" spans="2:6" x14ac:dyDescent="0.25">
      <c r="B12" s="15" t="s">
        <v>224</v>
      </c>
      <c r="C12" s="16" t="s">
        <v>8</v>
      </c>
      <c r="D12" s="16" t="s">
        <v>223</v>
      </c>
      <c r="E12" s="15" t="s">
        <v>298</v>
      </c>
      <c r="F12" s="15" t="s">
        <v>297</v>
      </c>
    </row>
    <row r="13" spans="2:6" x14ac:dyDescent="0.25">
      <c r="B13" s="15" t="s">
        <v>222</v>
      </c>
      <c r="C13" s="16" t="s">
        <v>10</v>
      </c>
      <c r="D13" s="16" t="s">
        <v>221</v>
      </c>
      <c r="E13" s="15" t="s">
        <v>298</v>
      </c>
      <c r="F13" s="15" t="s">
        <v>297</v>
      </c>
    </row>
    <row r="14" spans="2:6" x14ac:dyDescent="0.25">
      <c r="B14" s="15" t="s">
        <v>315</v>
      </c>
      <c r="C14" s="16" t="s">
        <v>324</v>
      </c>
      <c r="D14" s="17" t="s">
        <v>294</v>
      </c>
      <c r="E14" s="15" t="s">
        <v>298</v>
      </c>
      <c r="F14" s="15" t="s">
        <v>298</v>
      </c>
    </row>
    <row r="15" spans="2:6" x14ac:dyDescent="0.25">
      <c r="B15" s="15" t="s">
        <v>13</v>
      </c>
      <c r="C15" s="16" t="s">
        <v>14</v>
      </c>
      <c r="D15" s="16" t="s">
        <v>240</v>
      </c>
      <c r="E15" s="15" t="s">
        <v>297</v>
      </c>
      <c r="F15" s="15" t="s">
        <v>297</v>
      </c>
    </row>
    <row r="16" spans="2:6" x14ac:dyDescent="0.25">
      <c r="B16" s="15" t="s">
        <v>71</v>
      </c>
      <c r="C16" s="16" t="s">
        <v>72</v>
      </c>
      <c r="D16" s="16" t="s">
        <v>299</v>
      </c>
      <c r="E16" s="15" t="s">
        <v>298</v>
      </c>
      <c r="F16" s="15" t="s">
        <v>325</v>
      </c>
    </row>
    <row r="17" spans="2:9" x14ac:dyDescent="0.25">
      <c r="B17" s="15" t="s">
        <v>27</v>
      </c>
      <c r="C17" s="16" t="s">
        <v>28</v>
      </c>
      <c r="D17" s="16" t="s">
        <v>183</v>
      </c>
      <c r="E17" s="15" t="s">
        <v>298</v>
      </c>
      <c r="F17" s="15" t="s">
        <v>298</v>
      </c>
    </row>
    <row r="18" spans="2:9" x14ac:dyDescent="0.25">
      <c r="B18" s="15" t="s">
        <v>115</v>
      </c>
      <c r="C18" s="16" t="s">
        <v>116</v>
      </c>
      <c r="D18" s="16" t="s">
        <v>173</v>
      </c>
      <c r="E18" s="15" t="s">
        <v>298</v>
      </c>
      <c r="F18" s="15" t="s">
        <v>298</v>
      </c>
    </row>
    <row r="19" spans="2:9" x14ac:dyDescent="0.25">
      <c r="B19" s="15" t="s">
        <v>139</v>
      </c>
      <c r="C19" s="16" t="s">
        <v>44</v>
      </c>
      <c r="D19" s="16" t="s">
        <v>138</v>
      </c>
      <c r="E19" s="16" t="s">
        <v>297</v>
      </c>
      <c r="F19" s="16" t="s">
        <v>298</v>
      </c>
    </row>
    <row r="20" spans="2:9" x14ac:dyDescent="0.25">
      <c r="B20" s="15" t="s">
        <v>90</v>
      </c>
      <c r="C20" s="16" t="s">
        <v>91</v>
      </c>
      <c r="D20" s="16" t="s">
        <v>140</v>
      </c>
      <c r="E20" s="16" t="s">
        <v>297</v>
      </c>
      <c r="F20" s="16" t="s">
        <v>298</v>
      </c>
    </row>
    <row r="21" spans="2:9" x14ac:dyDescent="0.25">
      <c r="B21" s="15" t="s">
        <v>1</v>
      </c>
      <c r="C21" s="16" t="s">
        <v>2</v>
      </c>
      <c r="D21" s="16" t="s">
        <v>188</v>
      </c>
      <c r="E21" s="16" t="s">
        <v>297</v>
      </c>
      <c r="F21" s="16" t="s">
        <v>297</v>
      </c>
    </row>
    <row r="23" spans="2:9" x14ac:dyDescent="0.25">
      <c r="B23" t="s">
        <v>321</v>
      </c>
      <c r="E23" t="str">
        <f>_xlfn.TEXTJOIN(" ",TRUE,E26:E34)</f>
        <v>/ ` j k g o r x</v>
      </c>
      <c r="F23" t="s">
        <v>322</v>
      </c>
      <c r="H23" t="str">
        <f>_xlfn.TEXTJOIN(" ",TRUE,H26:H35)</f>
        <v>/ J K g r x p n</v>
      </c>
      <c r="I23" t="s">
        <v>323</v>
      </c>
    </row>
    <row r="25" spans="2:9" x14ac:dyDescent="0.25">
      <c r="E25" s="9" t="s">
        <v>285</v>
      </c>
      <c r="F25" s="9"/>
      <c r="H25" s="9" t="s">
        <v>309</v>
      </c>
      <c r="I25" s="9"/>
    </row>
    <row r="26" spans="2:9" x14ac:dyDescent="0.25">
      <c r="E26" t="str" cm="1">
        <f t="array" ref="E26:F33">_xlfn.CHOOSECOLS(_xlfn._xlws.FILTER($B$5:$F$21,$E$5:$E$21="Go with Gmail"),MATCH($B$4,$B$4:$F$4,0),MATCH($E$4,$B$4:$F$4))</f>
        <v>/</v>
      </c>
      <c r="F26" t="str">
        <v>Go with Gmail</v>
      </c>
      <c r="H26" t="str" cm="1">
        <f t="array" ref="H26:I33">_xlfn.CHOOSECOLS(_xlfn._xlws.FILTER($B$5:$F$21,$F$5:$F$21="Go with Gmail"),MATCH($B$4,$B$4:$F$4,0),MATCH($F$4,$B$4:$F$4))</f>
        <v>/</v>
      </c>
      <c r="I26" t="str">
        <v>Go with Gmail</v>
      </c>
    </row>
    <row r="27" spans="2:9" x14ac:dyDescent="0.25">
      <c r="E27" t="str">
        <v>`</v>
      </c>
      <c r="F27" t="str">
        <v>Go with Gmail</v>
      </c>
      <c r="H27" t="str">
        <v>J</v>
      </c>
      <c r="I27" t="str">
        <v>Go with Gmail</v>
      </c>
    </row>
    <row r="28" spans="2:9" x14ac:dyDescent="0.25">
      <c r="E28" t="str">
        <v>j</v>
      </c>
      <c r="F28" t="str">
        <v>Go with Gmail</v>
      </c>
      <c r="H28" t="str">
        <v>K</v>
      </c>
      <c r="I28" t="str">
        <v>Go with Gmail</v>
      </c>
    </row>
    <row r="29" spans="2:9" x14ac:dyDescent="0.25">
      <c r="E29" t="str">
        <v>k</v>
      </c>
      <c r="F29" t="str">
        <v>Go with Gmail</v>
      </c>
      <c r="H29" t="str">
        <v>g</v>
      </c>
      <c r="I29" t="str">
        <v>Go with Gmail</v>
      </c>
    </row>
    <row r="30" spans="2:9" x14ac:dyDescent="0.25">
      <c r="E30" t="str">
        <v>g</v>
      </c>
      <c r="F30" t="str">
        <v>Go with Gmail</v>
      </c>
      <c r="H30" t="str">
        <v>r</v>
      </c>
      <c r="I30" t="str">
        <v>Go with Gmail</v>
      </c>
    </row>
    <row r="31" spans="2:9" x14ac:dyDescent="0.25">
      <c r="E31" t="str">
        <v>o</v>
      </c>
      <c r="F31" t="str">
        <v>Go with Gmail</v>
      </c>
      <c r="H31" t="str">
        <v>x</v>
      </c>
      <c r="I31" t="str">
        <v>Go with Gmail</v>
      </c>
    </row>
    <row r="32" spans="2:9" x14ac:dyDescent="0.25">
      <c r="E32" t="str">
        <v>r</v>
      </c>
      <c r="F32" t="str">
        <v>Go with Gmail</v>
      </c>
      <c r="H32" t="str">
        <v>p</v>
      </c>
      <c r="I32" t="str">
        <v>Go with Gmail</v>
      </c>
    </row>
    <row r="33" spans="5:9" x14ac:dyDescent="0.25">
      <c r="E33" t="str">
        <v>x</v>
      </c>
      <c r="F33" t="str">
        <v>Go with Gmail</v>
      </c>
      <c r="H33" t="str">
        <v>n</v>
      </c>
      <c r="I33" t="str">
        <v>Go with Gmail</v>
      </c>
    </row>
  </sheetData>
  <conditionalFormatting sqref="E5:F21">
    <cfRule type="containsText" dxfId="3" priority="1" operator="containsText" text="Go with Vimium">
      <formula>NOT(ISERROR(SEARCH("Go with Vimium",E5)))</formula>
    </cfRule>
    <cfRule type="containsText" dxfId="2" priority="2" operator="containsText" text="Go with Gmail">
      <formula>NOT(ISERROR(SEARCH("Go with Gmail",E5)))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F08AC-127B-49AF-8A91-ABB3D4AA395C}">
  <dimension ref="B2:E26"/>
  <sheetViews>
    <sheetView zoomScale="130" zoomScaleNormal="130" workbookViewId="0">
      <selection activeCell="B2" sqref="B2"/>
    </sheetView>
  </sheetViews>
  <sheetFormatPr defaultRowHeight="15" x14ac:dyDescent="0.25"/>
  <cols>
    <col min="1" max="1" width="4.625" customWidth="1"/>
    <col min="2" max="2" width="104.625" customWidth="1"/>
    <col min="3" max="4" width="10.625" customWidth="1"/>
    <col min="5" max="5" width="41.5" bestFit="1" customWidth="1"/>
  </cols>
  <sheetData>
    <row r="2" spans="2:5" x14ac:dyDescent="0.25">
      <c r="B2" t="s">
        <v>310</v>
      </c>
      <c r="C2" t="s">
        <v>303</v>
      </c>
      <c r="D2" t="s">
        <v>301</v>
      </c>
      <c r="E2" t="s">
        <v>318</v>
      </c>
    </row>
    <row r="3" spans="2:5" x14ac:dyDescent="0.25">
      <c r="B3" t="s">
        <v>286</v>
      </c>
      <c r="C3" t="s">
        <v>290</v>
      </c>
      <c r="D3" t="s">
        <v>304</v>
      </c>
      <c r="E3" t="s">
        <v>320</v>
      </c>
    </row>
    <row r="4" spans="2:5" x14ac:dyDescent="0.25">
      <c r="B4" t="s">
        <v>289</v>
      </c>
      <c r="C4" t="s">
        <v>290</v>
      </c>
      <c r="D4" t="s">
        <v>304</v>
      </c>
      <c r="E4" t="s">
        <v>320</v>
      </c>
    </row>
    <row r="5" spans="2:5" x14ac:dyDescent="0.25">
      <c r="B5" t="s">
        <v>288</v>
      </c>
      <c r="C5" t="s">
        <v>290</v>
      </c>
      <c r="D5" t="s">
        <v>304</v>
      </c>
      <c r="E5" t="s">
        <v>320</v>
      </c>
    </row>
    <row r="6" spans="2:5" x14ac:dyDescent="0.25">
      <c r="B6" t="s">
        <v>291</v>
      </c>
      <c r="C6" t="s">
        <v>290</v>
      </c>
      <c r="D6" t="s">
        <v>304</v>
      </c>
      <c r="E6" t="s">
        <v>320</v>
      </c>
    </row>
    <row r="7" spans="2:5" x14ac:dyDescent="0.25">
      <c r="B7" t="s">
        <v>287</v>
      </c>
      <c r="C7" t="s">
        <v>290</v>
      </c>
      <c r="D7" t="s">
        <v>304</v>
      </c>
      <c r="E7" t="s">
        <v>320</v>
      </c>
    </row>
    <row r="8" spans="2:5" x14ac:dyDescent="0.25">
      <c r="B8" t="s">
        <v>302</v>
      </c>
      <c r="C8" t="s">
        <v>304</v>
      </c>
      <c r="D8" t="s">
        <v>290</v>
      </c>
      <c r="E8" t="s">
        <v>319</v>
      </c>
    </row>
    <row r="9" spans="2:5" x14ac:dyDescent="0.25">
      <c r="B9" s="8" t="s">
        <v>305</v>
      </c>
      <c r="C9" t="s">
        <v>304</v>
      </c>
      <c r="D9" t="s">
        <v>290</v>
      </c>
      <c r="E9" t="s">
        <v>319</v>
      </c>
    </row>
    <row r="10" spans="2:5" x14ac:dyDescent="0.25">
      <c r="B10" s="8" t="s">
        <v>306</v>
      </c>
      <c r="C10" t="s">
        <v>304</v>
      </c>
      <c r="D10" t="s">
        <v>290</v>
      </c>
      <c r="E10" t="s">
        <v>319</v>
      </c>
    </row>
    <row r="11" spans="2:5" x14ac:dyDescent="0.25">
      <c r="B11" s="8" t="s">
        <v>307</v>
      </c>
      <c r="C11" t="s">
        <v>304</v>
      </c>
      <c r="D11" t="s">
        <v>290</v>
      </c>
      <c r="E11" t="s">
        <v>319</v>
      </c>
    </row>
    <row r="12" spans="2:5" x14ac:dyDescent="0.25">
      <c r="B12" s="8" t="s">
        <v>308</v>
      </c>
      <c r="C12" t="s">
        <v>304</v>
      </c>
      <c r="D12" t="s">
        <v>290</v>
      </c>
      <c r="E12" t="s">
        <v>319</v>
      </c>
    </row>
    <row r="13" spans="2:5" x14ac:dyDescent="0.25">
      <c r="B13" s="8" t="s">
        <v>311</v>
      </c>
      <c r="C13" t="s">
        <v>304</v>
      </c>
      <c r="D13" t="s">
        <v>290</v>
      </c>
      <c r="E13" t="s">
        <v>319</v>
      </c>
    </row>
    <row r="22" spans="2:2" x14ac:dyDescent="0.25">
      <c r="B22" s="7"/>
    </row>
    <row r="23" spans="2:2" x14ac:dyDescent="0.25">
      <c r="B23" s="8"/>
    </row>
    <row r="24" spans="2:2" x14ac:dyDescent="0.25">
      <c r="B24" s="8"/>
    </row>
    <row r="25" spans="2:2" x14ac:dyDescent="0.25">
      <c r="B25" s="8"/>
    </row>
    <row r="26" spans="2:2" x14ac:dyDescent="0.25">
      <c r="B26" s="8"/>
    </row>
  </sheetData>
  <conditionalFormatting sqref="C3:D13">
    <cfRule type="cellIs" dxfId="1" priority="1" operator="equal">
      <formula>"No"</formula>
    </cfRule>
    <cfRule type="cellIs" dxfId="0" priority="2" operator="equal">
      <formula>"Yes"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ShortcutsVimiumC</vt:lpstr>
      <vt:lpstr>ShortcutsGmail</vt:lpstr>
      <vt:lpstr>AnalyzingBothSets</vt:lpstr>
      <vt:lpstr>UrlPatternAnalysis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Morris</dc:creator>
  <cp:lastModifiedBy>Sean Morris</cp:lastModifiedBy>
  <dcterms:created xsi:type="dcterms:W3CDTF">2024-04-15T13:45:25Z</dcterms:created>
  <dcterms:modified xsi:type="dcterms:W3CDTF">2026-02-22T23:39:39Z</dcterms:modified>
</cp:coreProperties>
</file>